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omer/Desktop/Premia/"/>
    </mc:Choice>
  </mc:AlternateContent>
  <xr:revisionPtr revIDLastSave="0" documentId="13_ncr:1_{0E4D9264-2A18-0446-B634-D177EC56BE2C}" xr6:coauthVersionLast="47" xr6:coauthVersionMax="47" xr10:uidLastSave="{00000000-0000-0000-0000-000000000000}"/>
  <bookViews>
    <workbookView xWindow="0" yWindow="680" windowWidth="30240" windowHeight="17680" tabRatio="500" xr2:uid="{00000000-000D-0000-FFFF-FFFF00000000}"/>
  </bookViews>
  <sheets>
    <sheet name="Assumptions" sheetId="1" r:id="rId1"/>
    <sheet name="Revenue Model" sheetId="2" r:id="rId2"/>
    <sheet name="Cost Model" sheetId="3" r:id="rId3"/>
    <sheet name="P&amp;L" sheetId="4" r:id="rId4"/>
    <sheet name="Cash Flow" sheetId="5" r:id="rId5"/>
    <sheet name="Unit Economics" sheetId="6" r:id="rId6"/>
    <sheet name="Cap Table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3" i="2" l="1"/>
  <c r="G13" i="2"/>
  <c r="F13" i="2"/>
  <c r="E13" i="2"/>
  <c r="D13" i="2"/>
  <c r="C13" i="2"/>
</calcChain>
</file>

<file path=xl/sharedStrings.xml><?xml version="1.0" encoding="utf-8"?>
<sst xmlns="http://schemas.openxmlformats.org/spreadsheetml/2006/main" count="270" uniqueCount="224">
  <si>
    <t>Assumption</t>
  </si>
  <si>
    <t>Notes</t>
  </si>
  <si>
    <t>Y0 Sem. 2026</t>
  </si>
  <si>
    <t>Year 1 2027</t>
  </si>
  <si>
    <t>Year 2 2028</t>
  </si>
  <si>
    <t>Year 3 2029</t>
  </si>
  <si>
    <t>Year 4 2030</t>
  </si>
  <si>
    <t>Year 5 2031</t>
  </si>
  <si>
    <t>COLOUR CODING</t>
  </si>
  <si>
    <t>Blue = hardcoded input  |  Black = formula  |  Green = cross-sheet  |  Yellow bg = key assumption</t>
  </si>
  <si>
    <t>A. PRICING — Monthly SaaS (€/month/club)</t>
  </si>
  <si>
    <t>Club Starter (BSL / EuroCup)</t>
  </si>
  <si>
    <t>Smaller clubs</t>
  </si>
  <si>
    <t>Club Professional (EuroLeague)</t>
  </si>
  <si>
    <t>Mid-tier EL clubs</t>
  </si>
  <si>
    <t>Club Enterprise (Top-5 EL)</t>
  </si>
  <si>
    <t>Premium tier</t>
  </si>
  <si>
    <t>Brand / Sponsor Analytics</t>
  </si>
  <si>
    <t>Per brand/month</t>
  </si>
  <si>
    <t>League Enterprise (€/year)</t>
  </si>
  <si>
    <t>Per federation/yr</t>
  </si>
  <si>
    <t>B. CLIENT VOLUMES — End of period</t>
  </si>
  <si>
    <t>Club Starter clients</t>
  </si>
  <si>
    <t>Club Professional clients</t>
  </si>
  <si>
    <t>Club Enterprise clients</t>
  </si>
  <si>
    <t>Brand / sponsor clients</t>
  </si>
  <si>
    <t>League enterprise contracts</t>
  </si>
  <si>
    <t>C. COST ASSUMPTIONS</t>
  </si>
  <si>
    <t>Headcount — Engineering</t>
  </si>
  <si>
    <t>Headcount — Sales &amp; Marketing</t>
  </si>
  <si>
    <t>Headcount — G&amp;A + CSM</t>
  </si>
  <si>
    <t>Avg Engineering salary (€/yr)</t>
  </si>
  <si>
    <t>Avg Sales salary (€/yr)</t>
  </si>
  <si>
    <t>Avg G&amp;A salary (€/yr)</t>
  </si>
  <si>
    <t>Cloud + data infra (€/yr)</t>
  </si>
  <si>
    <t>Other OPEX (€/yr)</t>
  </si>
  <si>
    <t>D. FUNDRAISING (€)</t>
  </si>
  <si>
    <t>CREATE-X grant</t>
  </si>
  <si>
    <t>Pre-seed raise</t>
  </si>
  <si>
    <t>Seed raise</t>
  </si>
  <si>
    <t>Series A raise</t>
  </si>
  <si>
    <t>Series B raise (optional)</t>
  </si>
  <si>
    <t>E. KEY METRICS (targets)</t>
  </si>
  <si>
    <t>Gross margin %</t>
  </si>
  <si>
    <t>Annual churn rate %</t>
  </si>
  <si>
    <t>Net Revenue Retention %</t>
  </si>
  <si>
    <t>Avg CAC — blended (€)</t>
  </si>
  <si>
    <t>PREMIA — Revenue Model (€)</t>
  </si>
  <si>
    <t>Revenue line</t>
  </si>
  <si>
    <t>Driver</t>
  </si>
  <si>
    <t>RECURRING — CLUB SaaS</t>
  </si>
  <si>
    <t>Club Starter — MRR × 12</t>
  </si>
  <si>
    <t>Club Professional — MRR × 12</t>
  </si>
  <si>
    <t>Club Enterprise — MRR × 12</t>
  </si>
  <si>
    <t>Brand Analytics — MRR × 12</t>
  </si>
  <si>
    <t>League Enterprise — annual</t>
  </si>
  <si>
    <t>Advisory / consulting</t>
  </si>
  <si>
    <t>Marketplace revenue (3% GMV)</t>
  </si>
  <si>
    <t>TOTAL REVENUE</t>
  </si>
  <si>
    <t>GROSS PROFIT</t>
  </si>
  <si>
    <t>Gross profit (€)</t>
  </si>
  <si>
    <t>Revenue × GM%</t>
  </si>
  <si>
    <t>ARR / RUN RATE SUMMARY</t>
  </si>
  <si>
    <t>ARR at year-end (€)</t>
  </si>
  <si>
    <t>Total paying clients</t>
  </si>
  <si>
    <t>MoM growth (approx)</t>
  </si>
  <si>
    <t>-</t>
  </si>
  <si>
    <t>25.0%</t>
  </si>
  <si>
    <t>12.0%</t>
  </si>
  <si>
    <t>8.5%</t>
  </si>
  <si>
    <t>6.0%</t>
  </si>
  <si>
    <t>4.5%</t>
  </si>
  <si>
    <t>PREMIA — Cost Model (€)</t>
  </si>
  <si>
    <t>Cost line</t>
  </si>
  <si>
    <t>HEADCOUNT COSTS</t>
  </si>
  <si>
    <t>Engineering salaries</t>
  </si>
  <si>
    <t>Sales &amp; marketing salaries</t>
  </si>
  <si>
    <t>G&amp;A + CSM salaries</t>
  </si>
  <si>
    <t>Equity / bonus provision</t>
  </si>
  <si>
    <t>TECHNOLOGY &amp; INFRASTRUCTURE</t>
  </si>
  <si>
    <t>Cloud compute + GPU (ML training)</t>
  </si>
  <si>
    <t>Data feeds + API licensing</t>
  </si>
  <si>
    <t>SaaS tools + dev infrastructure</t>
  </si>
  <si>
    <t>Security + compliance</t>
  </si>
  <si>
    <t>G&amp;A + SALES OPEX</t>
  </si>
  <si>
    <t>Legal + IP + accounting</t>
  </si>
  <si>
    <t>Travel (conferences + Final Four)</t>
  </si>
  <si>
    <t>Marketing + content</t>
  </si>
  <si>
    <t>Office + admin</t>
  </si>
  <si>
    <t>TOTAL OPERATING EXPENSES</t>
  </si>
  <si>
    <t>% of Revenue</t>
  </si>
  <si>
    <t>PREMIA — Income Statement (€)</t>
  </si>
  <si>
    <t>Line item</t>
  </si>
  <si>
    <t>Revenue</t>
  </si>
  <si>
    <t>From Revenue Model</t>
  </si>
  <si>
    <t>Cost of Goods Sold (COGS)</t>
  </si>
  <si>
    <t>Cloud + data + CS proportion</t>
  </si>
  <si>
    <t>Revenue - COGS</t>
  </si>
  <si>
    <t>Gross Margin %</t>
  </si>
  <si>
    <t>R&amp;D / Engineering</t>
  </si>
  <si>
    <t>Salaries + tools</t>
  </si>
  <si>
    <t>Sales &amp; Marketing</t>
  </si>
  <si>
    <t>Salaries + events + content</t>
  </si>
  <si>
    <t>General &amp; Administrative</t>
  </si>
  <si>
    <t>Legal + admin + G&amp;A salaries</t>
  </si>
  <si>
    <t>Customer Success</t>
  </si>
  <si>
    <t>Included in G&amp;A Y0-1</t>
  </si>
  <si>
    <t>TOTAL OPEX (below GP)</t>
  </si>
  <si>
    <t>EBITDA</t>
  </si>
  <si>
    <t>Gross Profit - OPEX</t>
  </si>
  <si>
    <t>EBITDA Margin %</t>
  </si>
  <si>
    <t>D&amp;A (negligible)</t>
  </si>
  <si>
    <t>Minimal hardware</t>
  </si>
  <si>
    <t>EBIT</t>
  </si>
  <si>
    <t>EBITDA - D&amp;A</t>
  </si>
  <si>
    <t>Interest income / (expense)</t>
  </si>
  <si>
    <t>Interest on cash balance</t>
  </si>
  <si>
    <t>EBT</t>
  </si>
  <si>
    <t>Earnings Before Tax</t>
  </si>
  <si>
    <t>Tax provision (0% early, 20% profitable)</t>
  </si>
  <si>
    <t>NET INCOME / (LOSS)</t>
  </si>
  <si>
    <t>Bottom line</t>
  </si>
  <si>
    <t>PREMIA — Cash Flow Statement (€)</t>
  </si>
  <si>
    <t>OPERATING ACTIVITIES</t>
  </si>
  <si>
    <t>Net income / (loss)</t>
  </si>
  <si>
    <t>Add: D&amp;A</t>
  </si>
  <si>
    <t>Change in working capital</t>
  </si>
  <si>
    <t>Net cash from operations</t>
  </si>
  <si>
    <t>INVESTING ACTIVITIES</t>
  </si>
  <si>
    <t>Capitalised software development</t>
  </si>
  <si>
    <t>Net cash from investing</t>
  </si>
  <si>
    <t>FINANCING ACTIVITIES</t>
  </si>
  <si>
    <t>CREATE-X grant / pre-seed raise</t>
  </si>
  <si>
    <t>Net cash from financing</t>
  </si>
  <si>
    <t>NET CHANGE IN CASH</t>
  </si>
  <si>
    <t>Opening cash</t>
  </si>
  <si>
    <t>CLOSING CASH BALANCE</t>
  </si>
  <si>
    <t>Runway at current burn (months)</t>
  </si>
  <si>
    <t>PREMIA — Unit Economics</t>
  </si>
  <si>
    <t>Metric</t>
  </si>
  <si>
    <t>How calculated</t>
  </si>
  <si>
    <t>BY TIER — ANNUAL CONTRACT VALUE (ACV)</t>
  </si>
  <si>
    <t>Starter ACV</t>
  </si>
  <si>
    <t>Professional ACV</t>
  </si>
  <si>
    <t>Enterprise ACV</t>
  </si>
  <si>
    <t>Brand ACV</t>
  </si>
  <si>
    <t>LTV / CAC ANALYSIS — Professional tier (representative)</t>
  </si>
  <si>
    <t>ARPU — monthly (€)</t>
  </si>
  <si>
    <t>ARPU — annual (€)</t>
  </si>
  <si>
    <t>Annual churn rate</t>
  </si>
  <si>
    <t>Avg customer lifetime (yrs)</t>
  </si>
  <si>
    <t>LTV (€)</t>
  </si>
  <si>
    <t>CAC — blended (€)</t>
  </si>
  <si>
    <t>LTV / CAC ratio</t>
  </si>
  <si>
    <t>N/A</t>
  </si>
  <si>
    <t>CAC payback period (months)</t>
  </si>
  <si>
    <t>BUSINESS HEALTH METRICS</t>
  </si>
  <si>
    <t>Net Revenue Retention (NRR)</t>
  </si>
  <si>
    <t>Gross Revenue Retention (GRR)</t>
  </si>
  <si>
    <t>Magic number</t>
  </si>
  <si>
    <t>0.4</t>
  </si>
  <si>
    <t>0.7</t>
  </si>
  <si>
    <t>0.9</t>
  </si>
  <si>
    <t>1.1</t>
  </si>
  <si>
    <t>Total paying clients — EoP</t>
  </si>
  <si>
    <t>ARR per client (blended €)</t>
  </si>
  <si>
    <t>Key insight: CAC is €0 in Year 0–1 because every client acquired via warm Fenerbahçe Beko introductions. No paid sales, no AEs. This makes LTV/CAC exceptional in the early years and explains our extraordinary unit economics at launch.</t>
  </si>
  <si>
    <t>PREMIA — Cap Table (simplified)</t>
  </si>
  <si>
    <t>Shareholder</t>
  </si>
  <si>
    <t>Role</t>
  </si>
  <si>
    <t>Shares</t>
  </si>
  <si>
    <t>% (pre-seed)</t>
  </si>
  <si>
    <t>% (post-seed)</t>
  </si>
  <si>
    <t>% (post-A)</t>
  </si>
  <si>
    <t>Founder (You)</t>
  </si>
  <si>
    <t>CEO / Founder</t>
  </si>
  <si>
    <t>ISyE, commercial + relationships</t>
  </si>
  <si>
    <t>CTO Co-founder</t>
  </si>
  <si>
    <t>CTO / Eng Lead</t>
  </si>
  <si>
    <t>CS/CompE, owns tech moat</t>
  </si>
  <si>
    <t>Data Co-founder</t>
  </si>
  <si>
    <t>Head of Data Science</t>
  </si>
  <si>
    <t>IE/CS, owns valuation models</t>
  </si>
  <si>
    <t>Option Pool</t>
  </si>
  <si>
    <t>Employees + advisors</t>
  </si>
  <si>
    <t>Expands at each round</t>
  </si>
  <si>
    <t>Pre-seed investors</t>
  </si>
  <si>
    <t>Angels / micro-VCs</t>
  </si>
  <si>
    <t>€1M @ ~€5M pre-money val.</t>
  </si>
  <si>
    <t>Seed investors</t>
  </si>
  <si>
    <t>Courtside / ELP / 76</t>
  </si>
  <si>
    <t>€4M @ ~€15M pre-money val.</t>
  </si>
  <si>
    <t>Series A investors</t>
  </si>
  <si>
    <t>Sapphire / Index</t>
  </si>
  <si>
    <t>€16M @ ~€80M pre-money val.</t>
  </si>
  <si>
    <t>TOTAL</t>
  </si>
  <si>
    <t>NB: &gt;100% shown pre-dilution</t>
  </si>
  <si>
    <t>VALUATION MILESTONES</t>
  </si>
  <si>
    <t>Pre-seed</t>
  </si>
  <si>
    <t>€1M raise</t>
  </si>
  <si>
    <t>€5M pre-money</t>
  </si>
  <si>
    <t>€6M post-money</t>
  </si>
  <si>
    <t>~5× rev multiple on ARR run rate</t>
  </si>
  <si>
    <t>Seed</t>
  </si>
  <si>
    <t>€4M raise</t>
  </si>
  <si>
    <t>€15M pre-money</t>
  </si>
  <si>
    <t>€19M post-money</t>
  </si>
  <si>
    <t>~10× Year 1 ARR</t>
  </si>
  <si>
    <t>Series A</t>
  </si>
  <si>
    <t>€16M raise</t>
  </si>
  <si>
    <t>€80M pre-money</t>
  </si>
  <si>
    <t>€96M post-money</t>
  </si>
  <si>
    <t>~7× Year 2 ARR (forward)</t>
  </si>
  <si>
    <t>Series B (optional)</t>
  </si>
  <si>
    <t>€30M raise</t>
  </si>
  <si>
    <t>€300M pre-money</t>
  </si>
  <si>
    <t>€330M post-money</t>
  </si>
  <si>
    <t>~25× Year 3 ARR</t>
  </si>
  <si>
    <t>Exit target (Year 5-7)</t>
  </si>
  <si>
    <t>M&amp;A or IPO</t>
  </si>
  <si>
    <t>$400M–$1.2B</t>
  </si>
  <si>
    <t>8-12× ARR</t>
  </si>
  <si>
    <t>Sportradar / Nielsen / IMG / DAZN</t>
  </si>
  <si>
    <t>PREMIA - Financial Model · Key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</si>
</sst>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\€#,##0;&quot;(€&quot;#,##0\);\-"/>
    <numFmt numFmtId="165" formatCode="#,##0;\(#,##0\);\-"/>
    <numFmt numFmtId="166" formatCode="0.0%;\(0.0%\);\-"/>
    <numFmt numFmtId="167" formatCode="0.0%"/>
    <numFmt numFmtId="168" formatCode="0.0"/>
    <numFmt numFmtId="169" formatCode="0.0\x"/>
    <numFmt numFmtId="170" formatCode="#,##0&quot; mo&quot;"/>
  </numFmts>
  <fonts count="1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94A3B8"/>
      <name val="Arial"/>
      <family val="2"/>
    </font>
    <font>
      <i/>
      <sz val="9"/>
      <color rgb="FF94A3B8"/>
      <name val="Arial"/>
      <family val="2"/>
    </font>
    <font>
      <b/>
      <sz val="10"/>
      <color rgb="FFC9A84C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sz val="9"/>
      <color rgb="FF94A3B8"/>
      <name val="Arial"/>
      <family val="2"/>
    </font>
    <font>
      <i/>
      <sz val="9"/>
      <color rgb="FF1A2E4A"/>
      <name val="Arial"/>
      <family val="2"/>
    </font>
    <font>
      <i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1A2E4A"/>
      <name val="Arial"/>
      <family val="2"/>
    </font>
    <font>
      <sz val="9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2E4A"/>
        <bgColor rgb="FF003366"/>
      </patternFill>
    </fill>
    <fill>
      <patternFill patternType="solid">
        <fgColor rgb="FFFFFF99"/>
        <bgColor rgb="FFCCFFCC"/>
      </patternFill>
    </fill>
    <fill>
      <patternFill patternType="solid">
        <fgColor rgb="FFE2E8F0"/>
        <bgColor rgb="FFF4F7FA"/>
      </patternFill>
    </fill>
    <fill>
      <patternFill patternType="solid">
        <fgColor rgb="FFF4F7FA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0" fillId="3" borderId="0" xfId="0" applyFont="1" applyFill="1" applyAlignment="1">
      <alignment horizontal="left" vertical="center" wrapText="1" indent="1"/>
    </xf>
    <xf numFmtId="0" fontId="5" fillId="4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7" fillId="3" borderId="0" xfId="0" applyNumberFormat="1" applyFont="1" applyFill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5" fontId="7" fillId="3" borderId="0" xfId="0" applyNumberFormat="1" applyFont="1" applyFill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166" fontId="7" fillId="3" borderId="0" xfId="0" applyNumberFormat="1" applyFont="1" applyFill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67" fontId="7" fillId="3" borderId="0" xfId="0" applyNumberFormat="1" applyFont="1" applyFill="1" applyAlignment="1">
      <alignment horizontal="right" vertical="center"/>
    </xf>
    <xf numFmtId="0" fontId="6" fillId="0" borderId="0" xfId="0" applyFont="1" applyAlignment="1">
      <alignment horizontal="right" vertical="center"/>
    </xf>
    <xf numFmtId="167" fontId="6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8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4" fontId="8" fillId="5" borderId="0" xfId="0" applyNumberFormat="1" applyFont="1" applyFill="1" applyAlignment="1">
      <alignment horizontal="right" vertical="center"/>
    </xf>
    <xf numFmtId="167" fontId="8" fillId="5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7" fontId="5" fillId="2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left" vertical="center"/>
    </xf>
    <xf numFmtId="165" fontId="6" fillId="5" borderId="0" xfId="0" applyNumberFormat="1" applyFont="1" applyFill="1" applyAlignment="1">
      <alignment horizontal="right" vertical="center"/>
    </xf>
    <xf numFmtId="168" fontId="6" fillId="0" borderId="0" xfId="0" applyNumberFormat="1" applyFont="1" applyAlignment="1">
      <alignment horizontal="right" vertical="center"/>
    </xf>
    <xf numFmtId="169" fontId="6" fillId="0" borderId="0" xfId="0" applyNumberFormat="1" applyFont="1" applyAlignment="1">
      <alignment horizontal="right" vertical="center"/>
    </xf>
    <xf numFmtId="170" fontId="6" fillId="0" borderId="0" xfId="0" applyNumberFormat="1" applyFont="1" applyAlignment="1">
      <alignment horizontal="right" vertical="center"/>
    </xf>
    <xf numFmtId="3" fontId="6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165" fontId="6" fillId="0" borderId="0" xfId="0" applyNumberFormat="1" applyFont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165" fontId="2" fillId="2" borderId="0" xfId="0" applyNumberFormat="1" applyFont="1" applyFill="1" applyAlignment="1">
      <alignment horizontal="right" vertical="center"/>
    </xf>
    <xf numFmtId="167" fontId="2" fillId="2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5C3A"/>
      <rgbColor rgb="FF000080"/>
      <rgbColor rgb="FF808000"/>
      <rgbColor rgb="FF800080"/>
      <rgbColor rgb="FF1E6B8A"/>
      <rgbColor rgb="FFC0C0C0"/>
      <rgbColor rgb="FF808080"/>
      <rgbColor rgb="FF9999FF"/>
      <rgbColor rgb="FFB45309"/>
      <rgbColor rgb="FFF4F7FA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84C"/>
      <rgbColor rgb="FFFF6600"/>
      <rgbColor rgb="FF534AB7"/>
      <rgbColor rgb="FF94A3B8"/>
      <rgbColor rgb="FF003366"/>
      <rgbColor rgb="FF339966"/>
      <rgbColor rgb="FF003300"/>
      <rgbColor rgb="FF633806"/>
      <rgbColor rgb="FF7F1D1D"/>
      <rgbColor rgb="FF993366"/>
      <rgbColor rgb="FF333399"/>
      <rgbColor rgb="FF1A2E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2E4A"/>
  </sheetPr>
  <dimension ref="A1:H40"/>
  <sheetViews>
    <sheetView showGridLines="0" tabSelected="1" zoomScale="150" zoomScaleNormal="100" workbookViewId="0">
      <selection sqref="A1:H1"/>
    </sheetView>
  </sheetViews>
  <sheetFormatPr baseColWidth="10" defaultColWidth="8.6640625" defaultRowHeight="15" x14ac:dyDescent="0.2"/>
  <cols>
    <col min="1" max="1" width="28" customWidth="1"/>
    <col min="2" max="2" width="18" customWidth="1"/>
    <col min="3" max="8" width="14" customWidth="1"/>
  </cols>
  <sheetData>
    <row r="1" spans="1:8" ht="36" customHeight="1" x14ac:dyDescent="0.2">
      <c r="A1" s="4" t="s">
        <v>223</v>
      </c>
      <c r="B1" s="4"/>
      <c r="C1" s="4"/>
      <c r="D1" s="4"/>
      <c r="E1" s="4"/>
      <c r="F1" s="4"/>
      <c r="G1" s="4"/>
      <c r="H1" s="4"/>
    </row>
    <row r="2" spans="1:8" x14ac:dyDescent="0.2">
      <c r="A2" s="5" t="s">
        <v>0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3" spans="1:8" x14ac:dyDescent="0.2">
      <c r="A3" s="7" t="s">
        <v>8</v>
      </c>
      <c r="B3" s="8" t="s">
        <v>9</v>
      </c>
    </row>
    <row r="5" spans="1:8" x14ac:dyDescent="0.2">
      <c r="A5" s="3" t="s">
        <v>10</v>
      </c>
      <c r="B5" s="3"/>
      <c r="C5" s="3"/>
      <c r="D5" s="3"/>
      <c r="E5" s="3"/>
      <c r="F5" s="3"/>
      <c r="G5" s="3"/>
      <c r="H5" s="3"/>
    </row>
    <row r="6" spans="1:8" x14ac:dyDescent="0.2">
      <c r="A6" s="9" t="s">
        <v>11</v>
      </c>
      <c r="B6" s="8" t="s">
        <v>12</v>
      </c>
      <c r="C6" s="10">
        <v>1500</v>
      </c>
      <c r="D6" s="10">
        <v>1800</v>
      </c>
      <c r="E6" s="10">
        <v>2000</v>
      </c>
      <c r="F6" s="10">
        <v>2200</v>
      </c>
      <c r="G6" s="10">
        <v>2500</v>
      </c>
      <c r="H6" s="10">
        <v>2800</v>
      </c>
    </row>
    <row r="7" spans="1:8" x14ac:dyDescent="0.2">
      <c r="A7" s="9" t="s">
        <v>13</v>
      </c>
      <c r="B7" s="8" t="s">
        <v>14</v>
      </c>
      <c r="C7" s="10">
        <v>3500</v>
      </c>
      <c r="D7" s="10">
        <v>4000</v>
      </c>
      <c r="E7" s="10">
        <v>4500</v>
      </c>
      <c r="F7" s="10">
        <v>5000</v>
      </c>
      <c r="G7" s="10">
        <v>5500</v>
      </c>
      <c r="H7" s="10">
        <v>6000</v>
      </c>
    </row>
    <row r="8" spans="1:8" x14ac:dyDescent="0.2">
      <c r="A8" s="9" t="s">
        <v>15</v>
      </c>
      <c r="B8" s="8" t="s">
        <v>16</v>
      </c>
      <c r="C8" s="11">
        <v>0</v>
      </c>
      <c r="D8" s="10">
        <v>7000</v>
      </c>
      <c r="E8" s="10">
        <v>8500</v>
      </c>
      <c r="F8" s="10">
        <v>9500</v>
      </c>
      <c r="G8" s="10">
        <v>11000</v>
      </c>
      <c r="H8" s="10">
        <v>12000</v>
      </c>
    </row>
    <row r="9" spans="1:8" x14ac:dyDescent="0.2">
      <c r="A9" s="9" t="s">
        <v>17</v>
      </c>
      <c r="B9" s="8" t="s">
        <v>18</v>
      </c>
      <c r="C9" s="11">
        <v>0</v>
      </c>
      <c r="D9" s="10">
        <v>1500</v>
      </c>
      <c r="E9" s="10">
        <v>2000</v>
      </c>
      <c r="F9" s="10">
        <v>2250</v>
      </c>
      <c r="G9" s="10">
        <v>2500</v>
      </c>
      <c r="H9" s="10">
        <v>3000</v>
      </c>
    </row>
    <row r="10" spans="1:8" x14ac:dyDescent="0.2">
      <c r="A10" s="9" t="s">
        <v>19</v>
      </c>
      <c r="B10" s="8" t="s">
        <v>20</v>
      </c>
      <c r="C10" s="11">
        <v>0</v>
      </c>
      <c r="D10" s="11">
        <v>0</v>
      </c>
      <c r="E10" s="11">
        <v>0</v>
      </c>
      <c r="F10" s="10">
        <v>120000</v>
      </c>
      <c r="G10" s="10">
        <v>150000</v>
      </c>
      <c r="H10" s="10">
        <v>200000</v>
      </c>
    </row>
    <row r="12" spans="1:8" x14ac:dyDescent="0.2">
      <c r="A12" s="3" t="s">
        <v>21</v>
      </c>
      <c r="B12" s="3"/>
      <c r="C12" s="3"/>
      <c r="D12" s="3"/>
      <c r="E12" s="3"/>
      <c r="F12" s="3"/>
      <c r="G12" s="3"/>
      <c r="H12" s="3"/>
    </row>
    <row r="13" spans="1:8" x14ac:dyDescent="0.2">
      <c r="A13" s="9" t="s">
        <v>22</v>
      </c>
      <c r="C13" s="12">
        <v>2</v>
      </c>
      <c r="D13" s="12">
        <v>5</v>
      </c>
      <c r="E13" s="12">
        <v>10</v>
      </c>
      <c r="F13" s="12">
        <v>18</v>
      </c>
      <c r="G13" s="12">
        <v>30</v>
      </c>
      <c r="H13" s="12">
        <v>45</v>
      </c>
    </row>
    <row r="14" spans="1:8" x14ac:dyDescent="0.2">
      <c r="A14" s="9" t="s">
        <v>23</v>
      </c>
      <c r="C14" s="12">
        <v>1</v>
      </c>
      <c r="D14" s="12">
        <v>8</v>
      </c>
      <c r="E14" s="12">
        <v>14</v>
      </c>
      <c r="F14" s="12">
        <v>22</v>
      </c>
      <c r="G14" s="12">
        <v>35</v>
      </c>
      <c r="H14" s="12">
        <v>55</v>
      </c>
    </row>
    <row r="15" spans="1:8" x14ac:dyDescent="0.2">
      <c r="A15" s="9" t="s">
        <v>24</v>
      </c>
      <c r="C15" s="12">
        <v>0</v>
      </c>
      <c r="D15" s="12">
        <v>2</v>
      </c>
      <c r="E15" s="12">
        <v>4</v>
      </c>
      <c r="F15" s="12">
        <v>6</v>
      </c>
      <c r="G15" s="12">
        <v>8</v>
      </c>
      <c r="H15" s="12">
        <v>10</v>
      </c>
    </row>
    <row r="16" spans="1:8" x14ac:dyDescent="0.2">
      <c r="A16" s="9" t="s">
        <v>25</v>
      </c>
      <c r="C16" s="12">
        <v>0</v>
      </c>
      <c r="D16" s="12">
        <v>3</v>
      </c>
      <c r="E16" s="12">
        <v>12</v>
      </c>
      <c r="F16" s="12">
        <v>30</v>
      </c>
      <c r="G16" s="12">
        <v>70</v>
      </c>
      <c r="H16" s="12">
        <v>130</v>
      </c>
    </row>
    <row r="17" spans="1:8" x14ac:dyDescent="0.2">
      <c r="A17" s="9" t="s">
        <v>26</v>
      </c>
      <c r="C17" s="12">
        <v>0</v>
      </c>
      <c r="D17" s="12">
        <v>0</v>
      </c>
      <c r="E17" s="12">
        <v>0</v>
      </c>
      <c r="F17" s="12">
        <v>1</v>
      </c>
      <c r="G17" s="12">
        <v>3</v>
      </c>
      <c r="H17" s="12">
        <v>6</v>
      </c>
    </row>
    <row r="19" spans="1:8" x14ac:dyDescent="0.2">
      <c r="A19" s="3" t="s">
        <v>27</v>
      </c>
      <c r="B19" s="3"/>
      <c r="C19" s="3"/>
      <c r="D19" s="3"/>
      <c r="E19" s="3"/>
      <c r="F19" s="3"/>
      <c r="G19" s="3"/>
      <c r="H19" s="3"/>
    </row>
    <row r="20" spans="1:8" x14ac:dyDescent="0.2">
      <c r="A20" s="9" t="s">
        <v>28</v>
      </c>
      <c r="C20" s="12">
        <v>3</v>
      </c>
      <c r="D20" s="12">
        <v>3</v>
      </c>
      <c r="E20" s="12">
        <v>6</v>
      </c>
      <c r="F20" s="12">
        <v>14</v>
      </c>
      <c r="G20" s="12">
        <v>20</v>
      </c>
      <c r="H20" s="12">
        <v>26</v>
      </c>
    </row>
    <row r="21" spans="1:8" x14ac:dyDescent="0.2">
      <c r="A21" s="9" t="s">
        <v>29</v>
      </c>
      <c r="C21" s="13">
        <v>0</v>
      </c>
      <c r="D21" s="13">
        <v>0</v>
      </c>
      <c r="E21" s="12">
        <v>2</v>
      </c>
      <c r="F21" s="12">
        <v>7</v>
      </c>
      <c r="G21" s="12">
        <v>11</v>
      </c>
      <c r="H21" s="12">
        <v>16</v>
      </c>
    </row>
    <row r="22" spans="1:8" x14ac:dyDescent="0.2">
      <c r="A22" s="9" t="s">
        <v>30</v>
      </c>
      <c r="C22" s="13">
        <v>0</v>
      </c>
      <c r="D22" s="12">
        <v>1</v>
      </c>
      <c r="E22" s="12">
        <v>2</v>
      </c>
      <c r="F22" s="12">
        <v>4</v>
      </c>
      <c r="G22" s="12">
        <v>6</v>
      </c>
      <c r="H22" s="12">
        <v>9</v>
      </c>
    </row>
    <row r="23" spans="1:8" x14ac:dyDescent="0.2">
      <c r="A23" s="9" t="s">
        <v>31</v>
      </c>
      <c r="C23" s="13">
        <v>0</v>
      </c>
      <c r="D23" s="12">
        <v>80000</v>
      </c>
      <c r="E23" s="12">
        <v>90000</v>
      </c>
      <c r="F23" s="12">
        <v>100000</v>
      </c>
      <c r="G23" s="12">
        <v>110000</v>
      </c>
      <c r="H23" s="12">
        <v>115000</v>
      </c>
    </row>
    <row r="24" spans="1:8" x14ac:dyDescent="0.2">
      <c r="A24" s="9" t="s">
        <v>32</v>
      </c>
      <c r="C24" s="13">
        <v>0</v>
      </c>
      <c r="D24" s="12">
        <v>75000</v>
      </c>
      <c r="E24" s="12">
        <v>85000</v>
      </c>
      <c r="F24" s="12">
        <v>95000</v>
      </c>
      <c r="G24" s="12">
        <v>100000</v>
      </c>
      <c r="H24" s="12">
        <v>105000</v>
      </c>
    </row>
    <row r="25" spans="1:8" x14ac:dyDescent="0.2">
      <c r="A25" s="9" t="s">
        <v>33</v>
      </c>
      <c r="C25" s="13">
        <v>0</v>
      </c>
      <c r="D25" s="12">
        <v>70000</v>
      </c>
      <c r="E25" s="12">
        <v>80000</v>
      </c>
      <c r="F25" s="12">
        <v>85000</v>
      </c>
      <c r="G25" s="12">
        <v>90000</v>
      </c>
      <c r="H25" s="12">
        <v>95000</v>
      </c>
    </row>
    <row r="26" spans="1:8" x14ac:dyDescent="0.2">
      <c r="A26" s="9" t="s">
        <v>34</v>
      </c>
      <c r="C26" s="12">
        <v>1500</v>
      </c>
      <c r="D26" s="12">
        <v>30000</v>
      </c>
      <c r="E26" s="12">
        <v>100000</v>
      </c>
      <c r="F26" s="12">
        <v>280000</v>
      </c>
      <c r="G26" s="12">
        <v>450000</v>
      </c>
      <c r="H26" s="12">
        <v>650000</v>
      </c>
    </row>
    <row r="27" spans="1:8" x14ac:dyDescent="0.2">
      <c r="A27" s="9" t="s">
        <v>35</v>
      </c>
      <c r="C27" s="12">
        <v>2000</v>
      </c>
      <c r="D27" s="12">
        <v>25000</v>
      </c>
      <c r="E27" s="12">
        <v>60000</v>
      </c>
      <c r="F27" s="12">
        <v>180000</v>
      </c>
      <c r="G27" s="12">
        <v>300000</v>
      </c>
      <c r="H27" s="12">
        <v>450000</v>
      </c>
    </row>
    <row r="29" spans="1:8" x14ac:dyDescent="0.2">
      <c r="A29" s="3" t="s">
        <v>36</v>
      </c>
      <c r="B29" s="3"/>
      <c r="C29" s="3"/>
      <c r="D29" s="3"/>
      <c r="E29" s="3"/>
      <c r="F29" s="3"/>
      <c r="G29" s="3"/>
      <c r="H29" s="3"/>
    </row>
    <row r="30" spans="1:8" x14ac:dyDescent="0.2">
      <c r="A30" s="9" t="s">
        <v>37</v>
      </c>
      <c r="C30" s="10">
        <v>5000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</row>
    <row r="31" spans="1:8" x14ac:dyDescent="0.2">
      <c r="A31" s="9" t="s">
        <v>38</v>
      </c>
      <c r="C31" s="11">
        <v>0</v>
      </c>
      <c r="D31" s="10">
        <v>1000000</v>
      </c>
      <c r="E31" s="11">
        <v>0</v>
      </c>
      <c r="F31" s="11">
        <v>0</v>
      </c>
      <c r="G31" s="11">
        <v>0</v>
      </c>
      <c r="H31" s="11">
        <v>0</v>
      </c>
    </row>
    <row r="32" spans="1:8" x14ac:dyDescent="0.2">
      <c r="A32" s="9" t="s">
        <v>39</v>
      </c>
      <c r="C32" s="11">
        <v>0</v>
      </c>
      <c r="D32" s="11">
        <v>0</v>
      </c>
      <c r="E32" s="10">
        <v>4000000</v>
      </c>
      <c r="F32" s="11">
        <v>0</v>
      </c>
      <c r="G32" s="11">
        <v>0</v>
      </c>
      <c r="H32" s="11">
        <v>0</v>
      </c>
    </row>
    <row r="33" spans="1:8" x14ac:dyDescent="0.2">
      <c r="A33" s="9" t="s">
        <v>40</v>
      </c>
      <c r="C33" s="11">
        <v>0</v>
      </c>
      <c r="D33" s="11">
        <v>0</v>
      </c>
      <c r="E33" s="11">
        <v>0</v>
      </c>
      <c r="F33" s="10">
        <v>16000000</v>
      </c>
      <c r="G33" s="11">
        <v>0</v>
      </c>
      <c r="H33" s="11">
        <v>0</v>
      </c>
    </row>
    <row r="34" spans="1:8" x14ac:dyDescent="0.2">
      <c r="A34" s="9" t="s">
        <v>41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</row>
    <row r="36" spans="1:8" x14ac:dyDescent="0.2">
      <c r="A36" s="3" t="s">
        <v>42</v>
      </c>
      <c r="B36" s="3"/>
      <c r="C36" s="3"/>
      <c r="D36" s="3"/>
      <c r="E36" s="3"/>
      <c r="F36" s="3"/>
      <c r="G36" s="3"/>
      <c r="H36" s="3"/>
    </row>
    <row r="37" spans="1:8" x14ac:dyDescent="0.2">
      <c r="A37" s="9" t="s">
        <v>43</v>
      </c>
      <c r="C37" s="14">
        <v>0.6</v>
      </c>
      <c r="D37" s="14">
        <v>0.68</v>
      </c>
      <c r="E37" s="14">
        <v>0.72</v>
      </c>
      <c r="F37" s="14">
        <v>0.76</v>
      </c>
      <c r="G37" s="14">
        <v>0.78</v>
      </c>
      <c r="H37" s="14">
        <v>0.8</v>
      </c>
    </row>
    <row r="38" spans="1:8" x14ac:dyDescent="0.2">
      <c r="A38" s="9" t="s">
        <v>44</v>
      </c>
      <c r="C38" s="14">
        <v>0.2</v>
      </c>
      <c r="D38" s="14">
        <v>0.18</v>
      </c>
      <c r="E38" s="14">
        <v>0.14000000000000001</v>
      </c>
      <c r="F38" s="14">
        <v>0.1</v>
      </c>
      <c r="G38" s="14">
        <v>0.09</v>
      </c>
      <c r="H38" s="14">
        <v>0.08</v>
      </c>
    </row>
    <row r="39" spans="1:8" x14ac:dyDescent="0.2">
      <c r="A39" s="9" t="s">
        <v>45</v>
      </c>
      <c r="C39" s="14">
        <v>1</v>
      </c>
      <c r="D39" s="14">
        <v>1.08</v>
      </c>
      <c r="E39" s="14">
        <v>1.1200000000000001</v>
      </c>
      <c r="F39" s="14">
        <v>1.1499999999999999</v>
      </c>
      <c r="G39" s="14">
        <v>1.18</v>
      </c>
      <c r="H39" s="14">
        <v>1.22</v>
      </c>
    </row>
    <row r="40" spans="1:8" x14ac:dyDescent="0.2">
      <c r="A40" s="9" t="s">
        <v>46</v>
      </c>
      <c r="C40" s="10">
        <v>0</v>
      </c>
      <c r="D40" s="10">
        <v>0</v>
      </c>
      <c r="E40" s="10">
        <v>4000</v>
      </c>
      <c r="F40" s="10">
        <v>7000</v>
      </c>
      <c r="G40" s="10">
        <v>9000</v>
      </c>
      <c r="H40" s="10">
        <v>10000</v>
      </c>
    </row>
  </sheetData>
  <mergeCells count="6">
    <mergeCell ref="A36:H36"/>
    <mergeCell ref="A1:H1"/>
    <mergeCell ref="A5:H5"/>
    <mergeCell ref="A12:H12"/>
    <mergeCell ref="A19:H19"/>
    <mergeCell ref="A29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6B8A"/>
  </sheetPr>
  <dimension ref="A1:H22"/>
  <sheetViews>
    <sheetView showGridLines="0" zoomScaleNormal="100" workbookViewId="0"/>
  </sheetViews>
  <sheetFormatPr baseColWidth="10" defaultColWidth="8.6640625" defaultRowHeight="15" x14ac:dyDescent="0.2"/>
  <cols>
    <col min="1" max="1" width="32" customWidth="1"/>
    <col min="2" max="2" width="16" customWidth="1"/>
    <col min="3" max="8" width="14" customWidth="1"/>
  </cols>
  <sheetData>
    <row r="1" spans="1:8" ht="36" customHeight="1" x14ac:dyDescent="0.2">
      <c r="A1" s="4" t="s">
        <v>47</v>
      </c>
      <c r="B1" s="4"/>
      <c r="C1" s="4"/>
      <c r="D1" s="4"/>
      <c r="E1" s="4"/>
      <c r="F1" s="4"/>
      <c r="G1" s="4"/>
      <c r="H1" s="4"/>
    </row>
    <row r="2" spans="1:8" x14ac:dyDescent="0.2">
      <c r="A2" s="5" t="s">
        <v>48</v>
      </c>
      <c r="B2" s="5" t="s">
        <v>49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4" spans="1:8" x14ac:dyDescent="0.2">
      <c r="A4" s="3" t="s">
        <v>50</v>
      </c>
      <c r="B4" s="3"/>
      <c r="C4" s="3"/>
      <c r="D4" s="3"/>
      <c r="E4" s="3"/>
      <c r="F4" s="3"/>
      <c r="G4" s="3"/>
      <c r="H4" s="3"/>
    </row>
    <row r="5" spans="1:8" x14ac:dyDescent="0.2">
      <c r="A5" s="9" t="s">
        <v>51</v>
      </c>
      <c r="C5" s="15">
        <v>36000</v>
      </c>
      <c r="D5" s="15">
        <v>108000</v>
      </c>
      <c r="E5" s="15">
        <v>240000</v>
      </c>
      <c r="F5" s="15">
        <v>475200</v>
      </c>
      <c r="G5" s="15">
        <v>900000</v>
      </c>
      <c r="H5" s="15">
        <v>1512000</v>
      </c>
    </row>
    <row r="6" spans="1:8" x14ac:dyDescent="0.2">
      <c r="A6" s="9" t="s">
        <v>52</v>
      </c>
      <c r="C6" s="15">
        <v>42000</v>
      </c>
      <c r="D6" s="15">
        <v>384000</v>
      </c>
      <c r="E6" s="15">
        <v>756000</v>
      </c>
      <c r="F6" s="15">
        <v>1320000</v>
      </c>
      <c r="G6" s="15">
        <v>2310000</v>
      </c>
      <c r="H6" s="15">
        <v>3960000</v>
      </c>
    </row>
    <row r="7" spans="1:8" x14ac:dyDescent="0.2">
      <c r="A7" s="9" t="s">
        <v>53</v>
      </c>
      <c r="C7" s="15">
        <v>0</v>
      </c>
      <c r="D7" s="15">
        <v>168000</v>
      </c>
      <c r="E7" s="15">
        <v>408000</v>
      </c>
      <c r="F7" s="15">
        <v>684000</v>
      </c>
      <c r="G7" s="15">
        <v>1056000</v>
      </c>
      <c r="H7" s="15">
        <v>1440000</v>
      </c>
    </row>
    <row r="8" spans="1:8" x14ac:dyDescent="0.2">
      <c r="A8" s="9" t="s">
        <v>54</v>
      </c>
      <c r="C8" s="15">
        <v>0</v>
      </c>
      <c r="D8" s="15">
        <v>54000</v>
      </c>
      <c r="E8" s="15">
        <v>288000</v>
      </c>
      <c r="F8" s="15">
        <v>810000</v>
      </c>
      <c r="G8" s="15">
        <v>2100000</v>
      </c>
      <c r="H8" s="15">
        <v>4680000</v>
      </c>
    </row>
    <row r="9" spans="1:8" x14ac:dyDescent="0.2">
      <c r="A9" s="9" t="s">
        <v>55</v>
      </c>
      <c r="C9" s="15">
        <v>0</v>
      </c>
      <c r="D9" s="15">
        <v>0</v>
      </c>
      <c r="E9" s="15">
        <v>0</v>
      </c>
      <c r="F9" s="15">
        <v>120000</v>
      </c>
      <c r="G9" s="15">
        <v>450000</v>
      </c>
      <c r="H9" s="15">
        <v>1200000</v>
      </c>
    </row>
    <row r="10" spans="1:8" x14ac:dyDescent="0.2">
      <c r="A10" s="9" t="s">
        <v>56</v>
      </c>
      <c r="C10" s="15">
        <v>18000</v>
      </c>
      <c r="D10" s="15">
        <v>30000</v>
      </c>
      <c r="E10" s="15">
        <v>25000</v>
      </c>
      <c r="F10" s="15">
        <v>0</v>
      </c>
      <c r="G10" s="15">
        <v>0</v>
      </c>
      <c r="H10" s="15">
        <v>0</v>
      </c>
    </row>
    <row r="11" spans="1:8" x14ac:dyDescent="0.2">
      <c r="A11" s="9" t="s">
        <v>57</v>
      </c>
      <c r="C11" s="15">
        <v>0</v>
      </c>
      <c r="D11" s="15">
        <v>0</v>
      </c>
      <c r="E11" s="15">
        <v>0</v>
      </c>
      <c r="F11" s="15">
        <v>0</v>
      </c>
      <c r="G11" s="15">
        <v>300000</v>
      </c>
      <c r="H11" s="15">
        <v>1500000</v>
      </c>
    </row>
    <row r="13" spans="1:8" x14ac:dyDescent="0.2">
      <c r="A13" s="5" t="s">
        <v>58</v>
      </c>
      <c r="C13" s="16">
        <f t="shared" ref="C13:H13" si="0">SUM(C5:C12)</f>
        <v>96000</v>
      </c>
      <c r="D13" s="16">
        <f t="shared" si="0"/>
        <v>744000</v>
      </c>
      <c r="E13" s="16">
        <f t="shared" si="0"/>
        <v>1717000</v>
      </c>
      <c r="F13" s="16">
        <f t="shared" si="0"/>
        <v>3409200</v>
      </c>
      <c r="G13" s="16">
        <f t="shared" si="0"/>
        <v>7116000</v>
      </c>
      <c r="H13" s="16">
        <f t="shared" si="0"/>
        <v>14292000</v>
      </c>
    </row>
    <row r="15" spans="1:8" x14ac:dyDescent="0.2">
      <c r="A15" s="2" t="s">
        <v>59</v>
      </c>
      <c r="B15" s="2"/>
      <c r="C15" s="2"/>
      <c r="D15" s="2"/>
      <c r="E15" s="2"/>
      <c r="F15" s="2"/>
      <c r="G15" s="2"/>
      <c r="H15" s="2"/>
    </row>
    <row r="16" spans="1:8" x14ac:dyDescent="0.2">
      <c r="A16" s="17" t="s">
        <v>60</v>
      </c>
      <c r="B16" s="18" t="s">
        <v>61</v>
      </c>
      <c r="C16" s="15">
        <v>21600</v>
      </c>
      <c r="D16" s="15">
        <v>485520</v>
      </c>
      <c r="E16" s="15">
        <v>1244160</v>
      </c>
      <c r="F16" s="15">
        <v>2979960</v>
      </c>
      <c r="G16" s="15">
        <v>6411600</v>
      </c>
      <c r="H16" s="15">
        <v>14860800</v>
      </c>
    </row>
    <row r="17" spans="1:8" x14ac:dyDescent="0.2">
      <c r="A17" s="17" t="s">
        <v>43</v>
      </c>
      <c r="C17" s="19">
        <v>0.6</v>
      </c>
      <c r="D17" s="19">
        <v>0.68</v>
      </c>
      <c r="E17" s="19">
        <v>0.72</v>
      </c>
      <c r="F17" s="19">
        <v>0.76</v>
      </c>
      <c r="G17" s="19">
        <v>0.78</v>
      </c>
      <c r="H17" s="19">
        <v>0.8</v>
      </c>
    </row>
    <row r="19" spans="1:8" x14ac:dyDescent="0.2">
      <c r="A19" s="2" t="s">
        <v>62</v>
      </c>
      <c r="B19" s="2"/>
      <c r="C19" s="2"/>
      <c r="D19" s="2"/>
      <c r="E19" s="2"/>
      <c r="F19" s="2"/>
      <c r="G19" s="2"/>
      <c r="H19" s="2"/>
    </row>
    <row r="20" spans="1:8" x14ac:dyDescent="0.2">
      <c r="A20" s="17" t="s">
        <v>63</v>
      </c>
      <c r="C20" s="10">
        <v>108000</v>
      </c>
      <c r="D20" s="10">
        <v>714000</v>
      </c>
      <c r="E20" s="10">
        <v>1752000</v>
      </c>
      <c r="F20" s="10">
        <v>4068000</v>
      </c>
      <c r="G20" s="10">
        <v>11760000</v>
      </c>
      <c r="H20" s="10">
        <v>46800000</v>
      </c>
    </row>
    <row r="21" spans="1:8" x14ac:dyDescent="0.2">
      <c r="A21" s="17" t="s">
        <v>64</v>
      </c>
      <c r="C21" s="12">
        <v>3</v>
      </c>
      <c r="D21" s="12">
        <v>18</v>
      </c>
      <c r="E21" s="12">
        <v>40</v>
      </c>
      <c r="F21" s="12">
        <v>77</v>
      </c>
      <c r="G21" s="12">
        <v>146</v>
      </c>
      <c r="H21" s="12">
        <v>291</v>
      </c>
    </row>
    <row r="22" spans="1:8" x14ac:dyDescent="0.2">
      <c r="A22" s="17" t="s">
        <v>65</v>
      </c>
      <c r="C22" s="20" t="s">
        <v>66</v>
      </c>
      <c r="D22" s="20" t="s">
        <v>67</v>
      </c>
      <c r="E22" s="20" t="s">
        <v>68</v>
      </c>
      <c r="F22" s="20" t="s">
        <v>69</v>
      </c>
      <c r="G22" s="20" t="s">
        <v>70</v>
      </c>
      <c r="H22" s="20" t="s">
        <v>71</v>
      </c>
    </row>
  </sheetData>
  <mergeCells count="4">
    <mergeCell ref="A1:H1"/>
    <mergeCell ref="A4:H4"/>
    <mergeCell ref="A15:H15"/>
    <mergeCell ref="A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1D1D"/>
  </sheetPr>
  <dimension ref="A1:H25"/>
  <sheetViews>
    <sheetView showGridLines="0" zoomScaleNormal="100" workbookViewId="0"/>
  </sheetViews>
  <sheetFormatPr baseColWidth="10" defaultColWidth="8.6640625" defaultRowHeight="15" x14ac:dyDescent="0.2"/>
  <cols>
    <col min="1" max="1" width="32" customWidth="1"/>
    <col min="2" max="2" width="16" customWidth="1"/>
    <col min="3" max="8" width="14" customWidth="1"/>
  </cols>
  <sheetData>
    <row r="1" spans="1:8" ht="36" customHeight="1" x14ac:dyDescent="0.2">
      <c r="A1" s="4" t="s">
        <v>72</v>
      </c>
      <c r="B1" s="4"/>
      <c r="C1" s="4"/>
      <c r="D1" s="4"/>
      <c r="E1" s="4"/>
      <c r="F1" s="4"/>
      <c r="G1" s="4"/>
      <c r="H1" s="4"/>
    </row>
    <row r="2" spans="1:8" x14ac:dyDescent="0.2">
      <c r="A2" s="5" t="s">
        <v>73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4" spans="1:8" x14ac:dyDescent="0.2">
      <c r="A4" s="3" t="s">
        <v>74</v>
      </c>
      <c r="B4" s="3"/>
      <c r="C4" s="3"/>
      <c r="D4" s="3"/>
      <c r="E4" s="3"/>
      <c r="F4" s="3"/>
      <c r="G4" s="3"/>
      <c r="H4" s="3"/>
    </row>
    <row r="5" spans="1:8" x14ac:dyDescent="0.2">
      <c r="A5" s="9" t="s">
        <v>75</v>
      </c>
      <c r="C5" s="15">
        <v>0</v>
      </c>
      <c r="D5" s="15">
        <v>240000</v>
      </c>
      <c r="E5" s="15">
        <v>540000</v>
      </c>
      <c r="F5" s="15">
        <v>1400000</v>
      </c>
      <c r="G5" s="15">
        <v>2200000</v>
      </c>
      <c r="H5" s="15">
        <v>2990000</v>
      </c>
    </row>
    <row r="6" spans="1:8" x14ac:dyDescent="0.2">
      <c r="A6" s="9" t="s">
        <v>76</v>
      </c>
      <c r="C6" s="15">
        <v>0</v>
      </c>
      <c r="D6" s="15">
        <v>0</v>
      </c>
      <c r="E6" s="15">
        <v>170000</v>
      </c>
      <c r="F6" s="15">
        <v>665000</v>
      </c>
      <c r="G6" s="15">
        <v>1100000</v>
      </c>
      <c r="H6" s="15">
        <v>1680000</v>
      </c>
    </row>
    <row r="7" spans="1:8" x14ac:dyDescent="0.2">
      <c r="A7" s="9" t="s">
        <v>77</v>
      </c>
      <c r="C7" s="15">
        <v>0</v>
      </c>
      <c r="D7" s="15">
        <v>70000</v>
      </c>
      <c r="E7" s="15">
        <v>160000</v>
      </c>
      <c r="F7" s="15">
        <v>340000</v>
      </c>
      <c r="G7" s="15">
        <v>540000</v>
      </c>
      <c r="H7" s="15">
        <v>855000</v>
      </c>
    </row>
    <row r="8" spans="1:8" x14ac:dyDescent="0.2">
      <c r="A8" s="9" t="s">
        <v>78</v>
      </c>
      <c r="C8" s="15">
        <v>0</v>
      </c>
      <c r="D8" s="15">
        <v>20000</v>
      </c>
      <c r="E8" s="15">
        <v>60000</v>
      </c>
      <c r="F8" s="15">
        <v>150000</v>
      </c>
      <c r="G8" s="15">
        <v>240000</v>
      </c>
      <c r="H8" s="15">
        <v>360000</v>
      </c>
    </row>
    <row r="10" spans="1:8" x14ac:dyDescent="0.2">
      <c r="A10" s="3" t="s">
        <v>79</v>
      </c>
      <c r="B10" s="3"/>
      <c r="C10" s="3"/>
      <c r="D10" s="3"/>
      <c r="E10" s="3"/>
      <c r="F10" s="3"/>
      <c r="G10" s="3"/>
      <c r="H10" s="3"/>
    </row>
    <row r="11" spans="1:8" x14ac:dyDescent="0.2">
      <c r="A11" s="9" t="s">
        <v>80</v>
      </c>
      <c r="C11" s="15">
        <v>1500</v>
      </c>
      <c r="D11" s="15">
        <v>30000</v>
      </c>
      <c r="E11" s="15">
        <v>100000</v>
      </c>
      <c r="F11" s="15">
        <v>280000</v>
      </c>
      <c r="G11" s="15">
        <v>450000</v>
      </c>
      <c r="H11" s="15">
        <v>650000</v>
      </c>
    </row>
    <row r="12" spans="1:8" x14ac:dyDescent="0.2">
      <c r="A12" s="9" t="s">
        <v>81</v>
      </c>
      <c r="C12" s="15">
        <v>0</v>
      </c>
      <c r="D12" s="15">
        <v>8000</v>
      </c>
      <c r="E12" s="15">
        <v>30000</v>
      </c>
      <c r="F12" s="15">
        <v>80000</v>
      </c>
      <c r="G12" s="15">
        <v>140000</v>
      </c>
      <c r="H12" s="15">
        <v>210000</v>
      </c>
    </row>
    <row r="13" spans="1:8" x14ac:dyDescent="0.2">
      <c r="A13" s="9" t="s">
        <v>82</v>
      </c>
      <c r="C13" s="15">
        <v>500</v>
      </c>
      <c r="D13" s="15">
        <v>6000</v>
      </c>
      <c r="E13" s="15">
        <v>18000</v>
      </c>
      <c r="F13" s="15">
        <v>40000</v>
      </c>
      <c r="G13" s="15">
        <v>65000</v>
      </c>
      <c r="H13" s="15">
        <v>90000</v>
      </c>
    </row>
    <row r="14" spans="1:8" x14ac:dyDescent="0.2">
      <c r="A14" s="9" t="s">
        <v>83</v>
      </c>
      <c r="C14" s="15">
        <v>0</v>
      </c>
      <c r="D14" s="15">
        <v>3000</v>
      </c>
      <c r="E14" s="15">
        <v>12000</v>
      </c>
      <c r="F14" s="15">
        <v>25000</v>
      </c>
      <c r="G14" s="15">
        <v>40000</v>
      </c>
      <c r="H14" s="15">
        <v>60000</v>
      </c>
    </row>
    <row r="16" spans="1:8" x14ac:dyDescent="0.2">
      <c r="A16" s="3" t="s">
        <v>84</v>
      </c>
      <c r="B16" s="3"/>
      <c r="C16" s="3"/>
      <c r="D16" s="3"/>
      <c r="E16" s="3"/>
      <c r="F16" s="3"/>
      <c r="G16" s="3"/>
      <c r="H16" s="3"/>
    </row>
    <row r="17" spans="1:8" x14ac:dyDescent="0.2">
      <c r="A17" s="9" t="s">
        <v>85</v>
      </c>
      <c r="C17" s="15">
        <v>500</v>
      </c>
      <c r="D17" s="15">
        <v>12000</v>
      </c>
      <c r="E17" s="15">
        <v>35000</v>
      </c>
      <c r="F17" s="15">
        <v>65000</v>
      </c>
      <c r="G17" s="15">
        <v>90000</v>
      </c>
      <c r="H17" s="15">
        <v>120000</v>
      </c>
    </row>
    <row r="18" spans="1:8" x14ac:dyDescent="0.2">
      <c r="A18" s="9" t="s">
        <v>86</v>
      </c>
      <c r="C18" s="15">
        <v>0</v>
      </c>
      <c r="D18" s="15">
        <v>8000</v>
      </c>
      <c r="E18" s="15">
        <v>20000</v>
      </c>
      <c r="F18" s="15">
        <v>45000</v>
      </c>
      <c r="G18" s="15">
        <v>70000</v>
      </c>
      <c r="H18" s="15">
        <v>100000</v>
      </c>
    </row>
    <row r="19" spans="1:8" x14ac:dyDescent="0.2">
      <c r="A19" s="9" t="s">
        <v>87</v>
      </c>
      <c r="C19" s="15">
        <v>0</v>
      </c>
      <c r="D19" s="15">
        <v>5000</v>
      </c>
      <c r="E19" s="15">
        <v>18000</v>
      </c>
      <c r="F19" s="15">
        <v>50000</v>
      </c>
      <c r="G19" s="15">
        <v>90000</v>
      </c>
      <c r="H19" s="15">
        <v>140000</v>
      </c>
    </row>
    <row r="20" spans="1:8" x14ac:dyDescent="0.2">
      <c r="A20" s="9" t="s">
        <v>88</v>
      </c>
      <c r="C20" s="15">
        <v>0</v>
      </c>
      <c r="D20" s="15">
        <v>0</v>
      </c>
      <c r="E20" s="15">
        <v>12000</v>
      </c>
      <c r="F20" s="15">
        <v>30000</v>
      </c>
      <c r="G20" s="15">
        <v>50000</v>
      </c>
      <c r="H20" s="15">
        <v>80000</v>
      </c>
    </row>
    <row r="23" spans="1:8" x14ac:dyDescent="0.2">
      <c r="A23" s="5" t="s">
        <v>89</v>
      </c>
      <c r="C23" s="16">
        <v>2500</v>
      </c>
      <c r="D23" s="16">
        <v>402000</v>
      </c>
      <c r="E23" s="16">
        <v>1175000</v>
      </c>
      <c r="F23" s="16">
        <v>3170000</v>
      </c>
      <c r="G23" s="16">
        <v>5075000</v>
      </c>
      <c r="H23" s="16">
        <v>7335000</v>
      </c>
    </row>
    <row r="25" spans="1:8" x14ac:dyDescent="0.2">
      <c r="A25" s="17" t="s">
        <v>90</v>
      </c>
      <c r="C25" s="21">
        <v>6.9444444444444503E-2</v>
      </c>
      <c r="D25" s="21">
        <v>0.56302521008403394</v>
      </c>
      <c r="E25" s="21">
        <v>0.67997685185185197</v>
      </c>
      <c r="F25" s="21">
        <v>0.80846722774802404</v>
      </c>
      <c r="G25" s="21">
        <v>0.61739659367396604</v>
      </c>
      <c r="H25" s="21">
        <v>0.39486434108527102</v>
      </c>
    </row>
  </sheetData>
  <mergeCells count="4">
    <mergeCell ref="A1:H1"/>
    <mergeCell ref="A4:H4"/>
    <mergeCell ref="A10:H10"/>
    <mergeCell ref="A16:H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5C3A"/>
  </sheetPr>
  <dimension ref="A1:H23"/>
  <sheetViews>
    <sheetView showGridLines="0" zoomScaleNormal="100" workbookViewId="0"/>
  </sheetViews>
  <sheetFormatPr baseColWidth="10" defaultColWidth="8.6640625" defaultRowHeight="15" x14ac:dyDescent="0.2"/>
  <cols>
    <col min="1" max="1" width="32" customWidth="1"/>
    <col min="2" max="2" width="16" customWidth="1"/>
    <col min="3" max="8" width="14" customWidth="1"/>
  </cols>
  <sheetData>
    <row r="1" spans="1:8" ht="36" customHeight="1" x14ac:dyDescent="0.2">
      <c r="A1" s="4" t="s">
        <v>91</v>
      </c>
      <c r="B1" s="4"/>
      <c r="C1" s="4"/>
      <c r="D1" s="4"/>
      <c r="E1" s="4"/>
      <c r="F1" s="4"/>
      <c r="G1" s="4"/>
      <c r="H1" s="4"/>
    </row>
    <row r="2" spans="1:8" x14ac:dyDescent="0.2">
      <c r="A2" s="5" t="s">
        <v>92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4" spans="1:8" x14ac:dyDescent="0.2">
      <c r="A4" s="17" t="s">
        <v>93</v>
      </c>
      <c r="B4" s="8" t="s">
        <v>94</v>
      </c>
      <c r="C4" s="22">
        <v>36000</v>
      </c>
      <c r="D4" s="22">
        <v>714000</v>
      </c>
      <c r="E4" s="22">
        <v>1728000</v>
      </c>
      <c r="F4" s="22">
        <v>3921000</v>
      </c>
      <c r="G4" s="22">
        <v>8220000</v>
      </c>
      <c r="H4" s="22">
        <v>18576000</v>
      </c>
    </row>
    <row r="5" spans="1:8" x14ac:dyDescent="0.2">
      <c r="A5" s="9" t="s">
        <v>95</v>
      </c>
      <c r="B5" s="8" t="s">
        <v>96</v>
      </c>
      <c r="C5" s="15">
        <v>-14400</v>
      </c>
      <c r="D5" s="15">
        <v>-228480</v>
      </c>
      <c r="E5" s="15">
        <v>-484224</v>
      </c>
      <c r="F5" s="15">
        <v>-940440</v>
      </c>
      <c r="G5" s="15">
        <v>-1808400</v>
      </c>
      <c r="H5" s="15">
        <v>-3715200</v>
      </c>
    </row>
    <row r="6" spans="1:8" x14ac:dyDescent="0.2">
      <c r="A6" s="23" t="s">
        <v>59</v>
      </c>
      <c r="B6" s="24" t="s">
        <v>97</v>
      </c>
      <c r="C6" s="25">
        <v>21600</v>
      </c>
      <c r="D6" s="25">
        <v>485520</v>
      </c>
      <c r="E6" s="25">
        <v>1243776</v>
      </c>
      <c r="F6" s="25">
        <v>2980560</v>
      </c>
      <c r="G6" s="25">
        <v>6411600</v>
      </c>
      <c r="H6" s="25">
        <v>14860800</v>
      </c>
    </row>
    <row r="7" spans="1:8" x14ac:dyDescent="0.2">
      <c r="A7" s="23" t="s">
        <v>98</v>
      </c>
      <c r="C7" s="26">
        <v>0.6</v>
      </c>
      <c r="D7" s="26">
        <v>0.68</v>
      </c>
      <c r="E7" s="26">
        <v>0.72</v>
      </c>
      <c r="F7" s="26">
        <v>0.76</v>
      </c>
      <c r="G7" s="26">
        <v>0.78</v>
      </c>
      <c r="H7" s="26">
        <v>0.8</v>
      </c>
    </row>
    <row r="9" spans="1:8" x14ac:dyDescent="0.2">
      <c r="A9" s="9" t="s">
        <v>99</v>
      </c>
      <c r="B9" s="8" t="s">
        <v>100</v>
      </c>
      <c r="C9" s="15">
        <v>0</v>
      </c>
      <c r="D9" s="15">
        <v>-240000</v>
      </c>
      <c r="E9" s="15">
        <v>-540000</v>
      </c>
      <c r="F9" s="15">
        <v>-1400000</v>
      </c>
      <c r="G9" s="15">
        <v>-2200000</v>
      </c>
      <c r="H9" s="15">
        <v>-2990000</v>
      </c>
    </row>
    <row r="10" spans="1:8" x14ac:dyDescent="0.2">
      <c r="A10" s="9" t="s">
        <v>101</v>
      </c>
      <c r="B10" s="8" t="s">
        <v>102</v>
      </c>
      <c r="C10" s="15">
        <v>0</v>
      </c>
      <c r="D10" s="15">
        <v>-13000</v>
      </c>
      <c r="E10" s="15">
        <v>-208000</v>
      </c>
      <c r="F10" s="15">
        <v>-745000</v>
      </c>
      <c r="G10" s="15">
        <v>-1260000</v>
      </c>
      <c r="H10" s="15">
        <v>-1920000</v>
      </c>
    </row>
    <row r="11" spans="1:8" x14ac:dyDescent="0.2">
      <c r="A11" s="9" t="s">
        <v>103</v>
      </c>
      <c r="B11" s="8" t="s">
        <v>104</v>
      </c>
      <c r="C11" s="15">
        <v>-2500</v>
      </c>
      <c r="D11" s="15">
        <v>-82000</v>
      </c>
      <c r="E11" s="15">
        <v>-222000</v>
      </c>
      <c r="F11" s="15">
        <v>-360000</v>
      </c>
      <c r="G11" s="15">
        <v>-490000</v>
      </c>
      <c r="H11" s="15">
        <v>-755000</v>
      </c>
    </row>
    <row r="12" spans="1:8" x14ac:dyDescent="0.2">
      <c r="A12" s="9" t="s">
        <v>105</v>
      </c>
      <c r="B12" s="8" t="s">
        <v>106</v>
      </c>
      <c r="C12" s="15">
        <v>0</v>
      </c>
      <c r="D12" s="15">
        <v>-49000</v>
      </c>
      <c r="E12" s="15">
        <v>-205000</v>
      </c>
      <c r="F12" s="15">
        <v>-665000</v>
      </c>
      <c r="G12" s="15">
        <v>-1125000</v>
      </c>
      <c r="H12" s="15">
        <v>-1670000</v>
      </c>
    </row>
    <row r="14" spans="1:8" x14ac:dyDescent="0.2">
      <c r="A14" s="23" t="s">
        <v>107</v>
      </c>
      <c r="C14" s="25">
        <v>-2500</v>
      </c>
      <c r="D14" s="25">
        <v>-384000</v>
      </c>
      <c r="E14" s="25">
        <v>-1175000</v>
      </c>
      <c r="F14" s="25">
        <v>-3170000</v>
      </c>
      <c r="G14" s="25">
        <v>-5075000</v>
      </c>
      <c r="H14" s="25">
        <v>-7335000</v>
      </c>
    </row>
    <row r="15" spans="1:8" x14ac:dyDescent="0.2">
      <c r="A15" s="5" t="s">
        <v>108</v>
      </c>
      <c r="B15" s="27" t="s">
        <v>109</v>
      </c>
      <c r="C15" s="16">
        <v>19100</v>
      </c>
      <c r="D15" s="16">
        <v>101520</v>
      </c>
      <c r="E15" s="16">
        <v>68776</v>
      </c>
      <c r="F15" s="16">
        <v>-189440</v>
      </c>
      <c r="G15" s="16">
        <v>1336600</v>
      </c>
      <c r="H15" s="16">
        <v>7525800</v>
      </c>
    </row>
    <row r="16" spans="1:8" x14ac:dyDescent="0.2">
      <c r="A16" s="5" t="s">
        <v>110</v>
      </c>
      <c r="C16" s="28">
        <v>0.53100000000000003</v>
      </c>
      <c r="D16" s="28">
        <v>0.14199999999999999</v>
      </c>
      <c r="E16" s="28">
        <v>0.04</v>
      </c>
      <c r="F16" s="28">
        <v>-4.8000000000000001E-2</v>
      </c>
      <c r="G16" s="28">
        <v>0.16300000000000001</v>
      </c>
      <c r="H16" s="28">
        <v>0.40500000000000003</v>
      </c>
    </row>
    <row r="18" spans="1:8" x14ac:dyDescent="0.2">
      <c r="A18" s="9" t="s">
        <v>111</v>
      </c>
      <c r="B18" s="8" t="s">
        <v>112</v>
      </c>
      <c r="C18" s="15">
        <v>0</v>
      </c>
      <c r="D18" s="15">
        <v>-2000</v>
      </c>
      <c r="E18" s="15">
        <v>-5000</v>
      </c>
      <c r="F18" s="15">
        <v>-12000</v>
      </c>
      <c r="G18" s="15">
        <v>-20000</v>
      </c>
      <c r="H18" s="15">
        <v>-30000</v>
      </c>
    </row>
    <row r="19" spans="1:8" x14ac:dyDescent="0.2">
      <c r="A19" s="23" t="s">
        <v>113</v>
      </c>
      <c r="B19" s="24" t="s">
        <v>114</v>
      </c>
      <c r="C19" s="25">
        <v>19100</v>
      </c>
      <c r="D19" s="25">
        <v>99520</v>
      </c>
      <c r="E19" s="25">
        <v>63776</v>
      </c>
      <c r="F19" s="25">
        <v>-201440</v>
      </c>
      <c r="G19" s="25">
        <v>1316600</v>
      </c>
      <c r="H19" s="25">
        <v>7495800</v>
      </c>
    </row>
    <row r="20" spans="1:8" x14ac:dyDescent="0.2">
      <c r="A20" s="9" t="s">
        <v>115</v>
      </c>
      <c r="B20" s="8" t="s">
        <v>116</v>
      </c>
      <c r="C20" s="15">
        <v>0</v>
      </c>
      <c r="D20" s="15">
        <v>5000</v>
      </c>
      <c r="E20" s="15">
        <v>20000</v>
      </c>
      <c r="F20" s="15">
        <v>35000</v>
      </c>
      <c r="G20" s="15">
        <v>60000</v>
      </c>
      <c r="H20" s="15">
        <v>100000</v>
      </c>
    </row>
    <row r="21" spans="1:8" x14ac:dyDescent="0.2">
      <c r="A21" s="23" t="s">
        <v>117</v>
      </c>
      <c r="B21" s="24" t="s">
        <v>118</v>
      </c>
      <c r="C21" s="25">
        <v>19100</v>
      </c>
      <c r="D21" s="25">
        <v>104520</v>
      </c>
      <c r="E21" s="25">
        <v>83776</v>
      </c>
      <c r="F21" s="25">
        <v>-166440</v>
      </c>
      <c r="G21" s="25">
        <v>1376600</v>
      </c>
      <c r="H21" s="25">
        <v>7595800</v>
      </c>
    </row>
    <row r="22" spans="1:8" x14ac:dyDescent="0.2">
      <c r="A22" s="9" t="s">
        <v>119</v>
      </c>
      <c r="C22" s="15">
        <v>0</v>
      </c>
      <c r="D22" s="15">
        <v>0</v>
      </c>
      <c r="E22" s="15">
        <v>0</v>
      </c>
      <c r="F22" s="15">
        <v>0</v>
      </c>
      <c r="G22" s="21">
        <v>-275320</v>
      </c>
      <c r="H22" s="21">
        <v>-1519160</v>
      </c>
    </row>
    <row r="23" spans="1:8" x14ac:dyDescent="0.2">
      <c r="A23" s="5" t="s">
        <v>120</v>
      </c>
      <c r="B23" s="27" t="s">
        <v>121</v>
      </c>
      <c r="C23" s="16">
        <v>19100</v>
      </c>
      <c r="D23" s="16">
        <v>104520</v>
      </c>
      <c r="E23" s="16">
        <v>83776</v>
      </c>
      <c r="F23" s="16">
        <v>-166440</v>
      </c>
      <c r="G23" s="16">
        <v>1101280</v>
      </c>
      <c r="H23" s="16">
        <v>6076640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33806"/>
  </sheetPr>
  <dimension ref="A1:H24"/>
  <sheetViews>
    <sheetView showGridLines="0" zoomScaleNormal="100" workbookViewId="0"/>
  </sheetViews>
  <sheetFormatPr baseColWidth="10" defaultColWidth="8.6640625" defaultRowHeight="15" x14ac:dyDescent="0.2"/>
  <cols>
    <col min="1" max="1" width="32" customWidth="1"/>
    <col min="2" max="2" width="16" customWidth="1"/>
    <col min="3" max="8" width="14" customWidth="1"/>
  </cols>
  <sheetData>
    <row r="1" spans="1:8" ht="36" customHeight="1" x14ac:dyDescent="0.2">
      <c r="A1" s="4" t="s">
        <v>122</v>
      </c>
      <c r="B1" s="4"/>
      <c r="C1" s="4"/>
      <c r="D1" s="4"/>
      <c r="E1" s="4"/>
      <c r="F1" s="4"/>
      <c r="G1" s="4"/>
      <c r="H1" s="4"/>
    </row>
    <row r="2" spans="1:8" x14ac:dyDescent="0.2">
      <c r="A2" s="5" t="s">
        <v>92</v>
      </c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4" spans="1:8" x14ac:dyDescent="0.2">
      <c r="A4" s="17" t="s">
        <v>123</v>
      </c>
      <c r="C4" s="22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</row>
    <row r="5" spans="1:8" x14ac:dyDescent="0.2">
      <c r="A5" s="9" t="s">
        <v>124</v>
      </c>
      <c r="C5" s="15">
        <v>19100</v>
      </c>
      <c r="D5" s="15">
        <v>104520</v>
      </c>
      <c r="E5" s="15">
        <v>83776</v>
      </c>
      <c r="F5" s="15">
        <v>-166440</v>
      </c>
      <c r="G5" s="15">
        <v>1101280</v>
      </c>
      <c r="H5" s="15">
        <v>6076640</v>
      </c>
    </row>
    <row r="6" spans="1:8" x14ac:dyDescent="0.2">
      <c r="A6" s="9" t="s">
        <v>125</v>
      </c>
      <c r="C6" s="15">
        <v>0</v>
      </c>
      <c r="D6" s="15">
        <v>2000</v>
      </c>
      <c r="E6" s="15">
        <v>5000</v>
      </c>
      <c r="F6" s="15">
        <v>12000</v>
      </c>
      <c r="G6" s="15">
        <v>20000</v>
      </c>
      <c r="H6" s="15">
        <v>30000</v>
      </c>
    </row>
    <row r="7" spans="1:8" x14ac:dyDescent="0.2">
      <c r="A7" s="9" t="s">
        <v>126</v>
      </c>
      <c r="C7" s="15">
        <v>-5000</v>
      </c>
      <c r="D7" s="15">
        <v>-30000</v>
      </c>
      <c r="E7" s="15">
        <v>-80000</v>
      </c>
      <c r="F7" s="15">
        <v>-150000</v>
      </c>
      <c r="G7" s="15">
        <v>-250000</v>
      </c>
      <c r="H7" s="15">
        <v>-400000</v>
      </c>
    </row>
    <row r="8" spans="1:8" x14ac:dyDescent="0.2">
      <c r="A8" s="17" t="s">
        <v>127</v>
      </c>
      <c r="C8" s="22">
        <v>14100</v>
      </c>
      <c r="D8" s="22">
        <v>76520</v>
      </c>
      <c r="E8" s="22">
        <v>8776</v>
      </c>
      <c r="F8" s="22">
        <v>-304440</v>
      </c>
      <c r="G8" s="22">
        <v>871280</v>
      </c>
      <c r="H8" s="22">
        <v>5706640</v>
      </c>
    </row>
    <row r="10" spans="1:8" x14ac:dyDescent="0.2">
      <c r="A10" s="17" t="s">
        <v>128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</row>
    <row r="11" spans="1:8" x14ac:dyDescent="0.2">
      <c r="A11" s="9" t="s">
        <v>129</v>
      </c>
      <c r="C11" s="15">
        <v>0</v>
      </c>
      <c r="D11" s="15">
        <v>-15000</v>
      </c>
      <c r="E11" s="15">
        <v>-40000</v>
      </c>
      <c r="F11" s="15">
        <v>-80000</v>
      </c>
      <c r="G11" s="15">
        <v>-120000</v>
      </c>
      <c r="H11" s="15">
        <v>-180000</v>
      </c>
    </row>
    <row r="12" spans="1:8" x14ac:dyDescent="0.2">
      <c r="A12" s="17" t="s">
        <v>130</v>
      </c>
      <c r="C12" s="22">
        <v>0</v>
      </c>
      <c r="D12" s="22">
        <v>-15000</v>
      </c>
      <c r="E12" s="22">
        <v>-40000</v>
      </c>
      <c r="F12" s="22">
        <v>-80000</v>
      </c>
      <c r="G12" s="22">
        <v>-120000</v>
      </c>
      <c r="H12" s="22">
        <v>-180000</v>
      </c>
    </row>
    <row r="14" spans="1:8" x14ac:dyDescent="0.2">
      <c r="A14" s="17" t="s">
        <v>131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</row>
    <row r="15" spans="1:8" x14ac:dyDescent="0.2">
      <c r="A15" s="9" t="s">
        <v>132</v>
      </c>
      <c r="C15" s="15">
        <v>5000</v>
      </c>
      <c r="D15" s="15">
        <v>1000000</v>
      </c>
      <c r="E15" s="15">
        <v>0</v>
      </c>
      <c r="F15" s="15">
        <v>0</v>
      </c>
      <c r="G15" s="15">
        <v>0</v>
      </c>
      <c r="H15" s="15">
        <v>0</v>
      </c>
    </row>
    <row r="16" spans="1:8" x14ac:dyDescent="0.2">
      <c r="A16" s="9" t="s">
        <v>39</v>
      </c>
      <c r="C16" s="15">
        <v>0</v>
      </c>
      <c r="D16" s="15">
        <v>0</v>
      </c>
      <c r="E16" s="15">
        <v>4000000</v>
      </c>
      <c r="F16" s="15">
        <v>0</v>
      </c>
      <c r="G16" s="15">
        <v>0</v>
      </c>
      <c r="H16" s="15">
        <v>0</v>
      </c>
    </row>
    <row r="17" spans="1:8" x14ac:dyDescent="0.2">
      <c r="A17" s="9" t="s">
        <v>40</v>
      </c>
      <c r="C17" s="15">
        <v>0</v>
      </c>
      <c r="D17" s="15">
        <v>0</v>
      </c>
      <c r="E17" s="15">
        <v>0</v>
      </c>
      <c r="F17" s="15">
        <v>16000000</v>
      </c>
      <c r="G17" s="15">
        <v>0</v>
      </c>
      <c r="H17" s="15">
        <v>0</v>
      </c>
    </row>
    <row r="18" spans="1:8" x14ac:dyDescent="0.2">
      <c r="A18" s="17" t="s">
        <v>133</v>
      </c>
      <c r="C18" s="22">
        <v>5000</v>
      </c>
      <c r="D18" s="22">
        <v>1000000</v>
      </c>
      <c r="E18" s="22">
        <v>4000000</v>
      </c>
      <c r="F18" s="22">
        <v>16000000</v>
      </c>
      <c r="G18" s="22">
        <v>0</v>
      </c>
      <c r="H18" s="22">
        <v>0</v>
      </c>
    </row>
    <row r="20" spans="1:8" x14ac:dyDescent="0.2">
      <c r="A20" s="23" t="s">
        <v>134</v>
      </c>
      <c r="C20" s="25">
        <v>19100</v>
      </c>
      <c r="D20" s="25">
        <v>1061520</v>
      </c>
      <c r="E20" s="25">
        <v>3968776</v>
      </c>
      <c r="F20" s="25">
        <v>15615560</v>
      </c>
      <c r="G20" s="25">
        <v>751280</v>
      </c>
      <c r="H20" s="25">
        <v>5526640</v>
      </c>
    </row>
    <row r="21" spans="1:8" x14ac:dyDescent="0.2">
      <c r="A21" s="9" t="s">
        <v>135</v>
      </c>
      <c r="C21" s="15">
        <v>0</v>
      </c>
      <c r="D21" s="15">
        <v>19100</v>
      </c>
      <c r="E21" s="15">
        <v>1080620</v>
      </c>
      <c r="F21" s="15">
        <v>5049396</v>
      </c>
      <c r="G21" s="15">
        <v>20664956</v>
      </c>
      <c r="H21" s="15">
        <v>21416236</v>
      </c>
    </row>
    <row r="22" spans="1:8" x14ac:dyDescent="0.2">
      <c r="A22" s="5" t="s">
        <v>136</v>
      </c>
      <c r="C22" s="16">
        <v>19100</v>
      </c>
      <c r="D22" s="16">
        <v>1080620</v>
      </c>
      <c r="E22" s="16">
        <v>5049396</v>
      </c>
      <c r="F22" s="16">
        <v>20664956</v>
      </c>
      <c r="G22" s="16">
        <v>21416236</v>
      </c>
      <c r="H22" s="16">
        <v>26942876</v>
      </c>
    </row>
    <row r="24" spans="1:8" x14ac:dyDescent="0.2">
      <c r="A24" s="29" t="s">
        <v>137</v>
      </c>
      <c r="C24" s="30">
        <v>24</v>
      </c>
      <c r="D24" s="30">
        <v>32</v>
      </c>
      <c r="E24" s="30">
        <v>51</v>
      </c>
      <c r="F24" s="30">
        <v>78</v>
      </c>
      <c r="G24" s="30">
        <v>99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34AB7"/>
  </sheetPr>
  <dimension ref="A1:H28"/>
  <sheetViews>
    <sheetView showGridLines="0" zoomScaleNormal="100" workbookViewId="0"/>
  </sheetViews>
  <sheetFormatPr baseColWidth="10" defaultColWidth="8.6640625" defaultRowHeight="15" x14ac:dyDescent="0.2"/>
  <cols>
    <col min="1" max="1" width="32" customWidth="1"/>
    <col min="2" max="2" width="22" customWidth="1"/>
    <col min="3" max="8" width="14" customWidth="1"/>
  </cols>
  <sheetData>
    <row r="1" spans="1:8" ht="36" customHeight="1" x14ac:dyDescent="0.2">
      <c r="A1" s="4" t="s">
        <v>138</v>
      </c>
      <c r="B1" s="4"/>
      <c r="C1" s="4"/>
      <c r="D1" s="4"/>
      <c r="E1" s="4"/>
      <c r="F1" s="4"/>
      <c r="G1" s="4"/>
      <c r="H1" s="4"/>
    </row>
    <row r="2" spans="1:8" x14ac:dyDescent="0.2">
      <c r="A2" s="5" t="s">
        <v>139</v>
      </c>
      <c r="B2" s="5" t="s">
        <v>140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</row>
    <row r="4" spans="1:8" x14ac:dyDescent="0.2">
      <c r="A4" s="3" t="s">
        <v>141</v>
      </c>
      <c r="B4" s="3"/>
      <c r="C4" s="3"/>
      <c r="D4" s="3"/>
      <c r="E4" s="3"/>
      <c r="F4" s="3"/>
      <c r="G4" s="3"/>
      <c r="H4" s="3"/>
    </row>
    <row r="5" spans="1:8" x14ac:dyDescent="0.2">
      <c r="A5" s="9" t="s">
        <v>142</v>
      </c>
      <c r="C5" s="11">
        <v>18000</v>
      </c>
      <c r="D5" s="11">
        <v>21600</v>
      </c>
      <c r="E5" s="11">
        <v>24000</v>
      </c>
      <c r="F5" s="11">
        <v>26400</v>
      </c>
      <c r="G5" s="11">
        <v>30000</v>
      </c>
      <c r="H5" s="11">
        <v>33600</v>
      </c>
    </row>
    <row r="6" spans="1:8" x14ac:dyDescent="0.2">
      <c r="A6" s="9" t="s">
        <v>143</v>
      </c>
      <c r="C6" s="11">
        <v>42000</v>
      </c>
      <c r="D6" s="11">
        <v>48000</v>
      </c>
      <c r="E6" s="11">
        <v>54000</v>
      </c>
      <c r="F6" s="11">
        <v>60000</v>
      </c>
      <c r="G6" s="11">
        <v>66000</v>
      </c>
      <c r="H6" s="11">
        <v>72000</v>
      </c>
    </row>
    <row r="7" spans="1:8" x14ac:dyDescent="0.2">
      <c r="A7" s="9" t="s">
        <v>144</v>
      </c>
      <c r="C7" s="11">
        <v>0</v>
      </c>
      <c r="D7" s="11">
        <v>84000</v>
      </c>
      <c r="E7" s="11">
        <v>102000</v>
      </c>
      <c r="F7" s="11">
        <v>114000</v>
      </c>
      <c r="G7" s="11">
        <v>132000</v>
      </c>
      <c r="H7" s="11">
        <v>144000</v>
      </c>
    </row>
    <row r="8" spans="1:8" x14ac:dyDescent="0.2">
      <c r="A8" s="9" t="s">
        <v>145</v>
      </c>
      <c r="C8" s="11">
        <v>0</v>
      </c>
      <c r="D8" s="11">
        <v>18000</v>
      </c>
      <c r="E8" s="11">
        <v>24000</v>
      </c>
      <c r="F8" s="11">
        <v>27000</v>
      </c>
      <c r="G8" s="11">
        <v>30000</v>
      </c>
      <c r="H8" s="11">
        <v>36000</v>
      </c>
    </row>
    <row r="10" spans="1:8" x14ac:dyDescent="0.2">
      <c r="A10" s="3" t="s">
        <v>146</v>
      </c>
      <c r="B10" s="3"/>
      <c r="C10" s="3"/>
      <c r="D10" s="3"/>
      <c r="E10" s="3"/>
      <c r="F10" s="3"/>
      <c r="G10" s="3"/>
      <c r="H10" s="3"/>
    </row>
    <row r="11" spans="1:8" x14ac:dyDescent="0.2">
      <c r="A11" s="9" t="s">
        <v>147</v>
      </c>
      <c r="C11" s="15">
        <v>4000</v>
      </c>
      <c r="D11" s="15">
        <v>4000</v>
      </c>
      <c r="E11" s="15">
        <v>4500</v>
      </c>
      <c r="F11" s="15">
        <v>5000</v>
      </c>
      <c r="G11" s="15">
        <v>5500</v>
      </c>
      <c r="H11" s="15">
        <v>6000</v>
      </c>
    </row>
    <row r="12" spans="1:8" x14ac:dyDescent="0.2">
      <c r="A12" s="17" t="s">
        <v>148</v>
      </c>
      <c r="C12" s="15">
        <v>48000</v>
      </c>
      <c r="D12" s="15">
        <v>48000</v>
      </c>
      <c r="E12" s="15">
        <v>54000</v>
      </c>
      <c r="F12" s="15">
        <v>60000</v>
      </c>
      <c r="G12" s="15">
        <v>66000</v>
      </c>
      <c r="H12" s="15">
        <v>72000</v>
      </c>
    </row>
    <row r="13" spans="1:8" x14ac:dyDescent="0.2">
      <c r="A13" s="9" t="s">
        <v>43</v>
      </c>
      <c r="C13" s="21">
        <v>0.6</v>
      </c>
      <c r="D13" s="21">
        <v>0.68</v>
      </c>
      <c r="E13" s="21">
        <v>0.72</v>
      </c>
      <c r="F13" s="21">
        <v>0.76</v>
      </c>
      <c r="G13" s="21">
        <v>0.78</v>
      </c>
      <c r="H13" s="21">
        <v>0.8</v>
      </c>
    </row>
    <row r="14" spans="1:8" x14ac:dyDescent="0.2">
      <c r="A14" s="9" t="s">
        <v>149</v>
      </c>
      <c r="C14" s="21">
        <v>0.2</v>
      </c>
      <c r="D14" s="21">
        <v>0.18</v>
      </c>
      <c r="E14" s="21">
        <v>0.14000000000000001</v>
      </c>
      <c r="F14" s="21">
        <v>0.1</v>
      </c>
      <c r="G14" s="21">
        <v>0.09</v>
      </c>
      <c r="H14" s="21">
        <v>0.08</v>
      </c>
    </row>
    <row r="15" spans="1:8" x14ac:dyDescent="0.2">
      <c r="A15" s="9" t="s">
        <v>150</v>
      </c>
      <c r="C15" s="31">
        <v>5</v>
      </c>
      <c r="D15" s="31">
        <v>5.6</v>
      </c>
      <c r="E15" s="31">
        <v>7.1</v>
      </c>
      <c r="F15" s="31">
        <v>10</v>
      </c>
      <c r="G15" s="31">
        <v>11.1</v>
      </c>
      <c r="H15" s="31">
        <v>12.5</v>
      </c>
    </row>
    <row r="16" spans="1:8" x14ac:dyDescent="0.2">
      <c r="A16" s="9" t="s">
        <v>151</v>
      </c>
      <c r="C16" s="15">
        <v>28800</v>
      </c>
      <c r="D16" s="15">
        <v>36960</v>
      </c>
      <c r="E16" s="15">
        <v>55512</v>
      </c>
      <c r="F16" s="15">
        <v>91200</v>
      </c>
      <c r="G16" s="15">
        <v>114048</v>
      </c>
      <c r="H16" s="15">
        <v>144000</v>
      </c>
    </row>
    <row r="17" spans="1:8" x14ac:dyDescent="0.2">
      <c r="A17" s="9" t="s">
        <v>152</v>
      </c>
      <c r="C17" s="15">
        <v>0</v>
      </c>
      <c r="D17" s="15">
        <v>0</v>
      </c>
      <c r="E17" s="15">
        <v>4000</v>
      </c>
      <c r="F17" s="15">
        <v>7000</v>
      </c>
      <c r="G17" s="15">
        <v>9000</v>
      </c>
      <c r="H17" s="15">
        <v>10000</v>
      </c>
    </row>
    <row r="18" spans="1:8" x14ac:dyDescent="0.2">
      <c r="A18" s="17" t="s">
        <v>153</v>
      </c>
      <c r="C18" s="32" t="s">
        <v>154</v>
      </c>
      <c r="D18" s="32" t="s">
        <v>154</v>
      </c>
      <c r="E18" s="32">
        <v>13.9</v>
      </c>
      <c r="F18" s="32">
        <v>13</v>
      </c>
      <c r="G18" s="32">
        <v>12.7</v>
      </c>
      <c r="H18" s="32">
        <v>14.4</v>
      </c>
    </row>
    <row r="19" spans="1:8" x14ac:dyDescent="0.2">
      <c r="A19" s="9" t="s">
        <v>155</v>
      </c>
      <c r="C19" s="33">
        <v>0</v>
      </c>
      <c r="D19" s="33">
        <v>0</v>
      </c>
      <c r="E19" s="33">
        <v>8</v>
      </c>
      <c r="F19" s="33">
        <v>12</v>
      </c>
      <c r="G19" s="33">
        <v>15</v>
      </c>
      <c r="H19" s="33">
        <v>15</v>
      </c>
    </row>
    <row r="21" spans="1:8" x14ac:dyDescent="0.2">
      <c r="A21" s="3" t="s">
        <v>156</v>
      </c>
      <c r="B21" s="3"/>
      <c r="C21" s="3"/>
      <c r="D21" s="3"/>
      <c r="E21" s="3"/>
      <c r="F21" s="3"/>
      <c r="G21" s="3"/>
      <c r="H21" s="3"/>
    </row>
    <row r="22" spans="1:8" x14ac:dyDescent="0.2">
      <c r="A22" s="9" t="s">
        <v>157</v>
      </c>
      <c r="C22" s="21">
        <v>1</v>
      </c>
      <c r="D22" s="21">
        <v>1.08</v>
      </c>
      <c r="E22" s="21">
        <v>1.1200000000000001</v>
      </c>
      <c r="F22" s="21">
        <v>1.1499999999999999</v>
      </c>
      <c r="G22" s="21">
        <v>1.18</v>
      </c>
      <c r="H22" s="21">
        <v>1.22</v>
      </c>
    </row>
    <row r="23" spans="1:8" x14ac:dyDescent="0.2">
      <c r="A23" s="9" t="s">
        <v>158</v>
      </c>
      <c r="C23" s="21">
        <v>0.8</v>
      </c>
      <c r="D23" s="21">
        <v>0.82</v>
      </c>
      <c r="E23" s="21">
        <v>0.86</v>
      </c>
      <c r="F23" s="21">
        <v>0.9</v>
      </c>
      <c r="G23" s="21">
        <v>0.91</v>
      </c>
      <c r="H23" s="21">
        <v>0.92</v>
      </c>
    </row>
    <row r="24" spans="1:8" x14ac:dyDescent="0.2">
      <c r="A24" s="9" t="s">
        <v>159</v>
      </c>
      <c r="C24" s="20" t="s">
        <v>66</v>
      </c>
      <c r="D24" s="20" t="s">
        <v>66</v>
      </c>
      <c r="E24" s="20" t="s">
        <v>160</v>
      </c>
      <c r="F24" s="20" t="s">
        <v>161</v>
      </c>
      <c r="G24" s="20" t="s">
        <v>162</v>
      </c>
      <c r="H24" s="20" t="s">
        <v>163</v>
      </c>
    </row>
    <row r="25" spans="1:8" x14ac:dyDescent="0.2">
      <c r="A25" s="9" t="s">
        <v>164</v>
      </c>
      <c r="C25" s="34">
        <v>3</v>
      </c>
      <c r="D25" s="34">
        <v>18</v>
      </c>
      <c r="E25" s="34">
        <v>40</v>
      </c>
      <c r="F25" s="34">
        <v>77</v>
      </c>
      <c r="G25" s="34">
        <v>146</v>
      </c>
      <c r="H25" s="34">
        <v>291</v>
      </c>
    </row>
    <row r="26" spans="1:8" x14ac:dyDescent="0.2">
      <c r="A26" s="9" t="s">
        <v>165</v>
      </c>
      <c r="C26" s="15">
        <v>36000</v>
      </c>
      <c r="D26" s="15">
        <v>39667</v>
      </c>
      <c r="E26" s="15">
        <v>43800</v>
      </c>
      <c r="F26" s="15">
        <v>52870</v>
      </c>
      <c r="G26" s="15">
        <v>56438</v>
      </c>
      <c r="H26" s="15">
        <v>63884</v>
      </c>
    </row>
    <row r="28" spans="1:8" ht="36" customHeight="1" x14ac:dyDescent="0.2">
      <c r="A28" s="1" t="s">
        <v>166</v>
      </c>
      <c r="B28" s="1"/>
      <c r="C28" s="1"/>
      <c r="D28" s="1"/>
      <c r="E28" s="1"/>
      <c r="F28" s="1"/>
      <c r="G28" s="1"/>
      <c r="H28" s="1"/>
    </row>
  </sheetData>
  <mergeCells count="5">
    <mergeCell ref="A1:H1"/>
    <mergeCell ref="A4:H4"/>
    <mergeCell ref="A10:H10"/>
    <mergeCell ref="A21:H21"/>
    <mergeCell ref="A28:H2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45309"/>
  </sheetPr>
  <dimension ref="A1:G19"/>
  <sheetViews>
    <sheetView showGridLines="0" zoomScaleNormal="100" workbookViewId="0"/>
  </sheetViews>
  <sheetFormatPr baseColWidth="10" defaultColWidth="8.6640625" defaultRowHeight="15" x14ac:dyDescent="0.2"/>
  <cols>
    <col min="1" max="1" width="24" customWidth="1"/>
    <col min="2" max="2" width="20" customWidth="1"/>
    <col min="3" max="7" width="14" customWidth="1"/>
  </cols>
  <sheetData>
    <row r="1" spans="1:7" ht="36" customHeight="1" x14ac:dyDescent="0.2">
      <c r="A1" s="4" t="s">
        <v>167</v>
      </c>
      <c r="B1" s="4"/>
      <c r="C1" s="4"/>
      <c r="D1" s="4"/>
      <c r="E1" s="4"/>
      <c r="F1" s="4"/>
      <c r="G1" s="4"/>
    </row>
    <row r="2" spans="1:7" x14ac:dyDescent="0.2">
      <c r="A2" s="5" t="s">
        <v>168</v>
      </c>
      <c r="B2" s="5" t="s">
        <v>169</v>
      </c>
      <c r="C2" s="6" t="s">
        <v>170</v>
      </c>
      <c r="D2" s="6" t="s">
        <v>171</v>
      </c>
      <c r="E2" s="6" t="s">
        <v>172</v>
      </c>
      <c r="F2" s="6" t="s">
        <v>173</v>
      </c>
      <c r="G2" s="6" t="s">
        <v>1</v>
      </c>
    </row>
    <row r="4" spans="1:7" x14ac:dyDescent="0.2">
      <c r="A4" s="9" t="s">
        <v>174</v>
      </c>
      <c r="B4" s="35" t="s">
        <v>175</v>
      </c>
      <c r="C4" s="36">
        <v>4750000</v>
      </c>
      <c r="D4" s="21">
        <v>0.47499999999999998</v>
      </c>
      <c r="E4" s="21">
        <v>0.38</v>
      </c>
      <c r="F4" s="21">
        <v>0.28499999999999998</v>
      </c>
      <c r="G4" s="8" t="s">
        <v>176</v>
      </c>
    </row>
    <row r="5" spans="1:7" x14ac:dyDescent="0.2">
      <c r="A5" s="9" t="s">
        <v>177</v>
      </c>
      <c r="B5" s="35" t="s">
        <v>178</v>
      </c>
      <c r="C5" s="36">
        <v>2750000</v>
      </c>
      <c r="D5" s="21">
        <v>0.27500000000000002</v>
      </c>
      <c r="E5" s="21">
        <v>0.22</v>
      </c>
      <c r="F5" s="21">
        <v>0.16500000000000001</v>
      </c>
      <c r="G5" s="8" t="s">
        <v>179</v>
      </c>
    </row>
    <row r="6" spans="1:7" x14ac:dyDescent="0.2">
      <c r="A6" s="9" t="s">
        <v>180</v>
      </c>
      <c r="B6" s="35" t="s">
        <v>181</v>
      </c>
      <c r="C6" s="36">
        <v>1750000</v>
      </c>
      <c r="D6" s="21">
        <v>0.17499999999999999</v>
      </c>
      <c r="E6" s="21">
        <v>0.14000000000000001</v>
      </c>
      <c r="F6" s="21">
        <v>0.105</v>
      </c>
      <c r="G6" s="8" t="s">
        <v>182</v>
      </c>
    </row>
    <row r="7" spans="1:7" x14ac:dyDescent="0.2">
      <c r="A7" s="9" t="s">
        <v>183</v>
      </c>
      <c r="B7" s="35" t="s">
        <v>184</v>
      </c>
      <c r="C7" s="36">
        <v>750000</v>
      </c>
      <c r="D7" s="21">
        <v>7.4999999999999997E-2</v>
      </c>
      <c r="E7" s="21">
        <v>0.06</v>
      </c>
      <c r="F7" s="21">
        <v>0.18</v>
      </c>
      <c r="G7" s="8" t="s">
        <v>185</v>
      </c>
    </row>
    <row r="8" spans="1:7" x14ac:dyDescent="0.2">
      <c r="A8" s="9" t="s">
        <v>186</v>
      </c>
      <c r="B8" s="35" t="s">
        <v>187</v>
      </c>
      <c r="C8" s="36" t="s">
        <v>66</v>
      </c>
      <c r="D8" s="21">
        <v>0</v>
      </c>
      <c r="E8" s="21">
        <v>0.2</v>
      </c>
      <c r="F8" s="21">
        <v>0.15</v>
      </c>
      <c r="G8" s="8" t="s">
        <v>188</v>
      </c>
    </row>
    <row r="9" spans="1:7" x14ac:dyDescent="0.2">
      <c r="A9" s="9" t="s">
        <v>189</v>
      </c>
      <c r="B9" s="35" t="s">
        <v>190</v>
      </c>
      <c r="C9" s="36" t="s">
        <v>66</v>
      </c>
      <c r="D9" s="21">
        <v>0</v>
      </c>
      <c r="E9" s="21">
        <v>0</v>
      </c>
      <c r="F9" s="21">
        <v>0.15</v>
      </c>
      <c r="G9" s="8" t="s">
        <v>191</v>
      </c>
    </row>
    <row r="10" spans="1:7" x14ac:dyDescent="0.2">
      <c r="A10" s="9" t="s">
        <v>192</v>
      </c>
      <c r="B10" s="35" t="s">
        <v>193</v>
      </c>
      <c r="C10" s="36" t="s">
        <v>66</v>
      </c>
      <c r="D10" s="21">
        <v>0</v>
      </c>
      <c r="E10" s="21">
        <v>0</v>
      </c>
      <c r="F10" s="21">
        <v>0.16500000000000001</v>
      </c>
      <c r="G10" s="8" t="s">
        <v>194</v>
      </c>
    </row>
    <row r="11" spans="1:7" x14ac:dyDescent="0.2">
      <c r="A11" s="5" t="s">
        <v>195</v>
      </c>
      <c r="B11" s="37"/>
      <c r="C11" s="38">
        <v>10000000</v>
      </c>
      <c r="D11" s="39">
        <v>1</v>
      </c>
      <c r="E11" s="39">
        <v>1</v>
      </c>
      <c r="F11" s="39">
        <v>1.2</v>
      </c>
      <c r="G11" s="27" t="s">
        <v>196</v>
      </c>
    </row>
    <row r="14" spans="1:7" x14ac:dyDescent="0.2">
      <c r="A14" s="3" t="s">
        <v>197</v>
      </c>
      <c r="B14" s="3"/>
      <c r="C14" s="3"/>
      <c r="D14" s="3"/>
      <c r="E14" s="3"/>
      <c r="F14" s="3"/>
      <c r="G14" s="3"/>
    </row>
    <row r="15" spans="1:7" x14ac:dyDescent="0.2">
      <c r="A15" s="40" t="s">
        <v>198</v>
      </c>
      <c r="B15" s="41" t="s">
        <v>199</v>
      </c>
      <c r="C15" s="41" t="s">
        <v>200</v>
      </c>
      <c r="D15" s="41" t="s">
        <v>201</v>
      </c>
      <c r="E15" s="41" t="s">
        <v>202</v>
      </c>
    </row>
    <row r="16" spans="1:7" x14ac:dyDescent="0.2">
      <c r="A16" s="40" t="s">
        <v>203</v>
      </c>
      <c r="B16" s="41" t="s">
        <v>204</v>
      </c>
      <c r="C16" s="41" t="s">
        <v>205</v>
      </c>
      <c r="D16" s="41" t="s">
        <v>206</v>
      </c>
      <c r="E16" s="41" t="s">
        <v>207</v>
      </c>
    </row>
    <row r="17" spans="1:5" x14ac:dyDescent="0.2">
      <c r="A17" s="40" t="s">
        <v>208</v>
      </c>
      <c r="B17" s="41" t="s">
        <v>209</v>
      </c>
      <c r="C17" s="41" t="s">
        <v>210</v>
      </c>
      <c r="D17" s="41" t="s">
        <v>211</v>
      </c>
      <c r="E17" s="41" t="s">
        <v>212</v>
      </c>
    </row>
    <row r="18" spans="1:5" x14ac:dyDescent="0.2">
      <c r="A18" s="40" t="s">
        <v>213</v>
      </c>
      <c r="B18" s="41" t="s">
        <v>214</v>
      </c>
      <c r="C18" s="41" t="s">
        <v>215</v>
      </c>
      <c r="D18" s="41" t="s">
        <v>216</v>
      </c>
      <c r="E18" s="41" t="s">
        <v>217</v>
      </c>
    </row>
    <row r="19" spans="1:5" x14ac:dyDescent="0.2">
      <c r="A19" s="40" t="s">
        <v>218</v>
      </c>
      <c r="B19" s="41" t="s">
        <v>219</v>
      </c>
      <c r="C19" s="41" t="s">
        <v>220</v>
      </c>
      <c r="D19" s="41" t="s">
        <v>221</v>
      </c>
      <c r="E19" s="41" t="s">
        <v>222</v>
      </c>
    </row>
  </sheetData>
  <mergeCells count="2">
    <mergeCell ref="A1:G1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Assumptions</vt:lpstr>
      <vt:lpstr>Revenue Model</vt:lpstr>
      <vt:lpstr>Cost Model</vt:lpstr>
      <vt:lpstr>P&amp;L</vt:lpstr>
      <vt:lpstr>Cash Flow</vt:lpstr>
      <vt:lpstr>Unit Economics</vt:lpstr>
      <vt:lpstr>Cap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Kosar, Omer</cp:lastModifiedBy>
  <cp:revision>0</cp:revision>
  <dcterms:created xsi:type="dcterms:W3CDTF">2026-04-17T21:55:15Z</dcterms:created>
  <dcterms:modified xsi:type="dcterms:W3CDTF">2026-04-17T21:57:21Z</dcterms:modified>
  <dc:language>en-US</dc:language>
</cp:coreProperties>
</file>